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9330"/>
  <workbookPr hidePivotFieldList="1" defaultThemeVersion="166925"/>
  <mc:AlternateContent xmlns:mc="http://schemas.openxmlformats.org/markup-compatibility/2006">
    <mc:Choice Requires="x15">
      <x15ac:absPath xmlns:x15ac="http://schemas.microsoft.com/office/spreadsheetml/2010/11/ac" url="C:\Users\lucyk\OneDrive\Desktop\tech drive\portfolio dataset\"/>
    </mc:Choice>
  </mc:AlternateContent>
  <xr:revisionPtr revIDLastSave="0" documentId="8_{45205D81-0A40-4958-90AD-A2F0EBFF0C3D}" xr6:coauthVersionLast="33" xr6:coauthVersionMax="33" xr10:uidLastSave="{00000000-0000-0000-0000-000000000000}"/>
  <bookViews>
    <workbookView xWindow="0" yWindow="0" windowWidth="23040" windowHeight="8952" activeTab="3" xr2:uid="{00000000-000D-0000-FFFF-FFFF00000000}"/>
  </bookViews>
  <sheets>
    <sheet name="Transparency Report" sheetId="1" r:id="rId1"/>
    <sheet name="pivot workings" sheetId="4" r:id="rId2"/>
    <sheet name="data" sheetId="3" r:id="rId3"/>
    <sheet name="Dashboard" sheetId="5" r:id="rId4"/>
  </sheets>
  <definedNames>
    <definedName name="ExternalData_1" localSheetId="2" hidden="1">data!$A$1:$I$122</definedName>
    <definedName name="Slicer_Date">#N/A</definedName>
    <definedName name="Slicer_Expense_Type">#N/A</definedName>
    <definedName name="Slicer_Suppliers">#N/A</definedName>
    <definedName name="Slicer_Transaction_type">#N/A</definedName>
  </definedNames>
  <calcPr calcId="162913"/>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H61" i="4" l="1"/>
  <c r="H60" i="4"/>
  <c r="H59"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<sst xmlns="http://schemas.openxmlformats.org/spreadsheetml/2006/main" count="1402" uniqueCount="173">
  <si>
    <t>Department Family</t>
  </si>
  <si>
    <t>Entity</t>
  </si>
  <si>
    <t>Date</t>
  </si>
  <si>
    <t>Expense Type</t>
  </si>
  <si>
    <t>Expense Area</t>
  </si>
  <si>
    <t>Transaction Number</t>
  </si>
  <si>
    <t xml:space="preserve"> Amount </t>
  </si>
  <si>
    <t>DOH</t>
  </si>
  <si>
    <t>London Ambulance Service NHS Trust</t>
  </si>
  <si>
    <t>Medical Equipment</t>
  </si>
  <si>
    <t>Medical Directorate Management</t>
  </si>
  <si>
    <t>Philips Electronics Uk Limited</t>
  </si>
  <si>
    <t>Vehicles</t>
  </si>
  <si>
    <t>Capital</t>
  </si>
  <si>
    <t>Halls Electrical Ltd</t>
  </si>
  <si>
    <t>Managed Service - Call Handler</t>
  </si>
  <si>
    <t>111 Nwl Operations</t>
  </si>
  <si>
    <t>Practice Plus Group Urgent Care Limited</t>
  </si>
  <si>
    <t>Rent</t>
  </si>
  <si>
    <t>Hart West</t>
  </si>
  <si>
    <t>Amas Ltd/Common Receipts Account</t>
  </si>
  <si>
    <t>Computer Software Maintenance</t>
  </si>
  <si>
    <t>Telephony Infra Mod To Cm8</t>
  </si>
  <si>
    <t>Cleric Computer Services Ltd</t>
  </si>
  <si>
    <t>Buildings</t>
  </si>
  <si>
    <t>Coniston Limited</t>
  </si>
  <si>
    <t>Building Ppm</t>
  </si>
  <si>
    <t>Property Management</t>
  </si>
  <si>
    <t>Toureen Retail Ltd</t>
  </si>
  <si>
    <t>Protective Uniform Purchase</t>
  </si>
  <si>
    <t>Hazardous Area Response Team</t>
  </si>
  <si>
    <t>Msa Bristol</t>
  </si>
  <si>
    <t>Driver Training</t>
  </si>
  <si>
    <t>Dockside Education Centre</t>
  </si>
  <si>
    <t>Medicare Ems Group Uk Limited</t>
  </si>
  <si>
    <t>Consultancy Fees</t>
  </si>
  <si>
    <t>Kendall Kingscott Ltd</t>
  </si>
  <si>
    <t>Bermondsey Estate - Unit 28</t>
  </si>
  <si>
    <t>Clocktower Estates</t>
  </si>
  <si>
    <t>Accident Repairs 3rd Party</t>
  </si>
  <si>
    <t>Malden Workshop</t>
  </si>
  <si>
    <t>R. And J.Motors Ltd</t>
  </si>
  <si>
    <t>Agency Professional Staff</t>
  </si>
  <si>
    <t>Make Ready - Insource Costs</t>
  </si>
  <si>
    <t>Build Recruitment Ltd</t>
  </si>
  <si>
    <t>External Training Services</t>
  </si>
  <si>
    <t>Im&amp;T Management</t>
  </si>
  <si>
    <t>Pluralsight Llc</t>
  </si>
  <si>
    <t>111 Iuc Central Cost</t>
  </si>
  <si>
    <t>Herts Urgent Care</t>
  </si>
  <si>
    <t>Rainham (Lsu) Estates</t>
  </si>
  <si>
    <t>Segro Plc</t>
  </si>
  <si>
    <t>Computer Hardware</t>
  </si>
  <si>
    <t>New Starter Ipads</t>
  </si>
  <si>
    <t>Cdw Ltd</t>
  </si>
  <si>
    <t>Dell Computer Corporation Ltd</t>
  </si>
  <si>
    <t>Other Legal Advice</t>
  </si>
  <si>
    <t>Legal Services</t>
  </si>
  <si>
    <t>Capsticks Solicitors Llp</t>
  </si>
  <si>
    <t>Interpretation Services</t>
  </si>
  <si>
    <t>111 Nel Operations</t>
  </si>
  <si>
    <t>Language Line</t>
  </si>
  <si>
    <t>Computer Software</t>
  </si>
  <si>
    <t>Microsoft Licenses</t>
  </si>
  <si>
    <t>Boxxe</t>
  </si>
  <si>
    <t>Logan Construction</t>
  </si>
  <si>
    <t>Gp Services</t>
  </si>
  <si>
    <t>Category 2 Validation Team</t>
  </si>
  <si>
    <t>Integrated Care Group Ltd</t>
  </si>
  <si>
    <t>Employment Liability Claims</t>
  </si>
  <si>
    <t>P&amp;C Management</t>
  </si>
  <si>
    <t>Data Network Rental</t>
  </si>
  <si>
    <t>Networks</t>
  </si>
  <si>
    <t>Bt Global Services</t>
  </si>
  <si>
    <t>Electricity</t>
  </si>
  <si>
    <t>Newham Training</t>
  </si>
  <si>
    <t>London Borough Of Newham</t>
  </si>
  <si>
    <t>Brentside Park Training</t>
  </si>
  <si>
    <t>Emerson Management Services Limited</t>
  </si>
  <si>
    <t>Service Charges</t>
  </si>
  <si>
    <t>Uniform</t>
  </si>
  <si>
    <t>Clinical Ed Administration</t>
  </si>
  <si>
    <t>The Cooneen Group</t>
  </si>
  <si>
    <t>111 Sel Operations</t>
  </si>
  <si>
    <t>Avison Young (Pma321)</t>
  </si>
  <si>
    <t>Islington Estates</t>
  </si>
  <si>
    <t>City Of London</t>
  </si>
  <si>
    <t>Eoc Transformation Project</t>
  </si>
  <si>
    <t>Orh Ltd</t>
  </si>
  <si>
    <t>Building Maintenance</t>
  </si>
  <si>
    <t>Fixing The Basics - Make Ready</t>
  </si>
  <si>
    <t>Airwave Managed Service</t>
  </si>
  <si>
    <t>Major Events</t>
  </si>
  <si>
    <t>Airwave Solutions Limited</t>
  </si>
  <si>
    <t>London Central And West Ucc</t>
  </si>
  <si>
    <t>Clinical Hub (Chub)</t>
  </si>
  <si>
    <t>South East London Doctors Cooperative Ltd</t>
  </si>
  <si>
    <t>Private Ambulance Hire</t>
  </si>
  <si>
    <t>Ops Central - Private Amb</t>
  </si>
  <si>
    <t>Emfs Group Ltd</t>
  </si>
  <si>
    <t>Training Accommodation</t>
  </si>
  <si>
    <t>International Recruitment 2023-24</t>
  </si>
  <si>
    <t>The Independents Hotel Reservations Ltd</t>
  </si>
  <si>
    <t>Ambulance Equipment</t>
  </si>
  <si>
    <t>Supply &amp; Material Management</t>
  </si>
  <si>
    <t>Ferno (Uk)</t>
  </si>
  <si>
    <t>Occupational Health Fees</t>
  </si>
  <si>
    <t>Healthy Workplace</t>
  </si>
  <si>
    <t>Working On Wellbeing T/A Optima Health</t>
  </si>
  <si>
    <t>Vehicle Recovery</t>
  </si>
  <si>
    <t>Fleet Support Services</t>
  </si>
  <si>
    <t>The Mansfield Group</t>
  </si>
  <si>
    <t>Electrical Items</t>
  </si>
  <si>
    <t>Spence Refit Ltd</t>
  </si>
  <si>
    <t>Managed Service - Adv Prac</t>
  </si>
  <si>
    <t>111 Nel Operations - Cas</t>
  </si>
  <si>
    <t>Hays Specialist Recruitment Ltd</t>
  </si>
  <si>
    <t>111 Sel Operations - Cas</t>
  </si>
  <si>
    <t>Managed Service - Gps</t>
  </si>
  <si>
    <t>Daisy Corporate Services Trading Limited</t>
  </si>
  <si>
    <t>Mobile Phone Calls</t>
  </si>
  <si>
    <t>Telecommunications</t>
  </si>
  <si>
    <t>Vodafone Corporate Limited</t>
  </si>
  <si>
    <t>Premises Cleaning Service</t>
  </si>
  <si>
    <t>Creative Software Solutions (Europe) Ltd</t>
  </si>
  <si>
    <t>Course And Conference Fees</t>
  </si>
  <si>
    <t>Uk Graduates</t>
  </si>
  <si>
    <t>Elite Advanced Driver Training Ltd</t>
  </si>
  <si>
    <t>Bt Plc</t>
  </si>
  <si>
    <t>Bwh South London Iuc 111 Cas Replacement Premises</t>
  </si>
  <si>
    <t>Network Equipment &amp; Services</t>
  </si>
  <si>
    <t>Network &amp; Route &amp; Setup</t>
  </si>
  <si>
    <t>Data Centre Mod - Hq To Farnborough</t>
  </si>
  <si>
    <t>Data Comms Maintenance</t>
  </si>
  <si>
    <t>Brent Unit 11 Falcon Park</t>
  </si>
  <si>
    <t>Professional Fees &amp; Services</t>
  </si>
  <si>
    <t>Ambulance Evaluation</t>
  </si>
  <si>
    <t>Millbrook Proving Ground Ltd A Utac Company</t>
  </si>
  <si>
    <t>Excelerate Technology Ltd</t>
  </si>
  <si>
    <t>Phone &amp; Fax Line Rental</t>
  </si>
  <si>
    <t>Britsh Telecom (Bt) Plc</t>
  </si>
  <si>
    <t>Brs Jobs Ltd</t>
  </si>
  <si>
    <t>Bt Teleworker</t>
  </si>
  <si>
    <t>Wietmarscher Ambulanz- Und Sonderfahrzeug Gmb</t>
  </si>
  <si>
    <t>Brent Estates</t>
  </si>
  <si>
    <t>Workman Llp</t>
  </si>
  <si>
    <t>Trust Management</t>
  </si>
  <si>
    <t>Transformation Nous Limited</t>
  </si>
  <si>
    <t>Tail Lift Components/Tests</t>
  </si>
  <si>
    <t>Alfa Tail Lifts Ltd</t>
  </si>
  <si>
    <t>Critical Care Transfer Service</t>
  </si>
  <si>
    <t>Veho Solutions Ltd</t>
  </si>
  <si>
    <t>Cody Road Estates</t>
  </si>
  <si>
    <t>Cbre Ltd</t>
  </si>
  <si>
    <t>Im&amp;T Medicines Management</t>
  </si>
  <si>
    <t>Tendable Limited</t>
  </si>
  <si>
    <t>P S G Frieght Services</t>
  </si>
  <si>
    <t>BP Control Account</t>
  </si>
  <si>
    <t>Balance Sheet</t>
  </si>
  <si>
    <t>BP Oil</t>
  </si>
  <si>
    <t>Medical Gas</t>
  </si>
  <si>
    <t>Director Of Ops</t>
  </si>
  <si>
    <t>British Oxygen</t>
  </si>
  <si>
    <t>Ensign Insurance Pre-Payment</t>
  </si>
  <si>
    <t>QBE INSURANCE / EU</t>
  </si>
  <si>
    <t>Suppliers</t>
  </si>
  <si>
    <t>Transaction_type</t>
  </si>
  <si>
    <t>Expenses</t>
  </si>
  <si>
    <t>Refund/ Adjustment</t>
  </si>
  <si>
    <t xml:space="preserve">Sum of  Amount </t>
  </si>
  <si>
    <t>Row Labels</t>
  </si>
  <si>
    <t>Grand Total</t>
  </si>
  <si>
    <t>(Multiple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</si>
</sst>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4"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colors>
    <mruColors>
      <color rgb="FF006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Budget Expenses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workings'!$B$3</c:f>
              <c:strCache>
                <c:ptCount val="1"/>
                <c:pt idx="0">
                  <c:v>Total</c:v>
                </c:pt>
              </c:strCache>
            </c:strRef>
          </c:tx>
          <c:spPr>
            <a:solidFill>
              <a:schemeClr val="accent1"/>
            </a:solidFill>
            <a:ln>
              <a:noFill/>
            </a:ln>
            <a:effectLst/>
            <a:sp3d/>
          </c:spPr>
          <c:invertIfNegative val="0"/>
          <c:cat>
            <c:strRef>
              <c:f>'pivot workings'!$A$4:$A$14</c:f>
              <c:strCache>
                <c:ptCount val="10"/>
                <c:pt idx="0">
                  <c:v>Buildings</c:v>
                </c:pt>
                <c:pt idx="1">
                  <c:v>Computer Hardware</c:v>
                </c:pt>
                <c:pt idx="2">
                  <c:v>BP Control Account</c:v>
                </c:pt>
                <c:pt idx="3">
                  <c:v>Managed Service - Gps</c:v>
                </c:pt>
                <c:pt idx="4">
                  <c:v>Electrical Items</c:v>
                </c:pt>
                <c:pt idx="5">
                  <c:v>Managed Service - Adv Prac</c:v>
                </c:pt>
                <c:pt idx="6">
                  <c:v>Computer Software</c:v>
                </c:pt>
                <c:pt idx="7">
                  <c:v>Rent</c:v>
                </c:pt>
                <c:pt idx="8">
                  <c:v>Vehicles</c:v>
                </c:pt>
                <c:pt idx="9">
                  <c:v>Managed Service - Call Handler</c:v>
                </c:pt>
              </c:strCache>
            </c:strRef>
          </c:cat>
          <c:val>
            <c:numRef>
              <c:f>'pivot workings'!$B$4:$B$14</c:f>
              <c:numCache>
                <c:formatCode>General</c:formatCode>
                <c:ptCount val="10"/>
                <c:pt idx="0">
                  <c:v>382591.35000000003</c:v>
                </c:pt>
                <c:pt idx="1">
                  <c:v>421059.74</c:v>
                </c:pt>
                <c:pt idx="2">
                  <c:v>446608.59</c:v>
                </c:pt>
                <c:pt idx="3">
                  <c:v>515476.39</c:v>
                </c:pt>
                <c:pt idx="4">
                  <c:v>528082.92999999993</c:v>
                </c:pt>
                <c:pt idx="5">
                  <c:v>597041.74</c:v>
                </c:pt>
                <c:pt idx="6">
                  <c:v>807914.21</c:v>
                </c:pt>
                <c:pt idx="7">
                  <c:v>910578.76</c:v>
                </c:pt>
                <c:pt idx="8">
                  <c:v>1023827.1200000001</c:v>
                </c:pt>
                <c:pt idx="9">
                  <c:v>2117750.9400000004</c:v>
                </c:pt>
              </c:numCache>
            </c:numRef>
          </c:val>
          <c:extLst>
            <c:ext xmlns:c16="http://schemas.microsoft.com/office/drawing/2014/chart" uri="{C3380CC4-5D6E-409C-BE32-E72D297353CC}">
              <c16:uniqueId val="{00000000-9A4F-44A7-B9E6-87E1DECAE7E7}"/>
            </c:ext>
          </c:extLst>
        </c:ser>
        <c:dLbls>
          <c:showLegendKey val="0"/>
          <c:showVal val="0"/>
          <c:showCatName val="0"/>
          <c:showSerName val="0"/>
          <c:showPercent val="0"/>
          <c:showBubbleSize val="0"/>
        </c:dLbls>
        <c:gapWidth val="150"/>
        <c:shape val="box"/>
        <c:axId val="1524475952"/>
        <c:axId val="1351955792"/>
        <c:axId val="0"/>
      </c:bar3DChart>
      <c:catAx>
        <c:axId val="1524475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55792"/>
        <c:crosses val="autoZero"/>
        <c:auto val="1"/>
        <c:lblAlgn val="ctr"/>
        <c:lblOffset val="100"/>
        <c:noMultiLvlLbl val="0"/>
      </c:catAx>
      <c:valAx>
        <c:axId val="1351955792"/>
        <c:scaling>
          <c:orientation val="minMax"/>
        </c:scaling>
        <c:delete val="1"/>
        <c:axPos val="b"/>
        <c:numFmt formatCode="General" sourceLinked="1"/>
        <c:majorTickMark val="none"/>
        <c:minorTickMark val="none"/>
        <c:tickLblPos val="nextTo"/>
        <c:crossAx val="152447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Expenses Areas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workings'!$B$20</c:f>
              <c:strCache>
                <c:ptCount val="1"/>
                <c:pt idx="0">
                  <c:v>Total</c:v>
                </c:pt>
              </c:strCache>
            </c:strRef>
          </c:tx>
          <c:spPr>
            <a:solidFill>
              <a:schemeClr val="accent1"/>
            </a:solidFill>
            <a:ln>
              <a:noFill/>
            </a:ln>
            <a:effectLst/>
            <a:sp3d/>
          </c:spPr>
          <c:invertIfNegative val="0"/>
          <c:cat>
            <c:strRef>
              <c:f>'pivot workings'!$A$21:$A$26</c:f>
              <c:strCache>
                <c:ptCount val="5"/>
                <c:pt idx="0">
                  <c:v>Capital</c:v>
                </c:pt>
                <c:pt idx="1">
                  <c:v>111 Iuc Central Cost</c:v>
                </c:pt>
                <c:pt idx="2">
                  <c:v>Microsoft Licenses</c:v>
                </c:pt>
                <c:pt idx="3">
                  <c:v>Networks</c:v>
                </c:pt>
                <c:pt idx="4">
                  <c:v>Balance Sheet</c:v>
                </c:pt>
              </c:strCache>
            </c:strRef>
          </c:cat>
          <c:val>
            <c:numRef>
              <c:f>'pivot workings'!$B$21:$B$26</c:f>
              <c:numCache>
                <c:formatCode>General</c:formatCode>
                <c:ptCount val="5"/>
                <c:pt idx="0">
                  <c:v>2473557.86</c:v>
                </c:pt>
                <c:pt idx="1">
                  <c:v>1548642.74</c:v>
                </c:pt>
                <c:pt idx="2">
                  <c:v>776834.21</c:v>
                </c:pt>
                <c:pt idx="3">
                  <c:v>772770.7</c:v>
                </c:pt>
                <c:pt idx="4">
                  <c:v>687452.58000000007</c:v>
                </c:pt>
              </c:numCache>
            </c:numRef>
          </c:val>
          <c:extLst>
            <c:ext xmlns:c16="http://schemas.microsoft.com/office/drawing/2014/chart" uri="{C3380CC4-5D6E-409C-BE32-E72D297353CC}">
              <c16:uniqueId val="{00000000-C4AC-4F79-ACE9-E5423A979031}"/>
            </c:ext>
          </c:extLst>
        </c:ser>
        <c:dLbls>
          <c:showLegendKey val="0"/>
          <c:showVal val="0"/>
          <c:showCatName val="0"/>
          <c:showSerName val="0"/>
          <c:showPercent val="0"/>
          <c:showBubbleSize val="0"/>
        </c:dLbls>
        <c:gapWidth val="150"/>
        <c:shape val="box"/>
        <c:axId val="1524607408"/>
        <c:axId val="1351253296"/>
        <c:axId val="0"/>
      </c:bar3DChart>
      <c:catAx>
        <c:axId val="1524607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53296"/>
        <c:crosses val="autoZero"/>
        <c:auto val="1"/>
        <c:lblAlgn val="ctr"/>
        <c:lblOffset val="100"/>
        <c:noMultiLvlLbl val="0"/>
      </c:catAx>
      <c:valAx>
        <c:axId val="135125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60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Percentage Contribution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workings'!$B$36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workings'!$A$37:$A$39</c:f>
              <c:strCache>
                <c:ptCount val="2"/>
                <c:pt idx="0">
                  <c:v>Expenses</c:v>
                </c:pt>
                <c:pt idx="1">
                  <c:v>Refund/ Adjustment</c:v>
                </c:pt>
              </c:strCache>
            </c:strRef>
          </c:cat>
          <c:val>
            <c:numRef>
              <c:f>'pivot workings'!$B$37:$B$39</c:f>
              <c:numCache>
                <c:formatCode>General</c:formatCode>
                <c:ptCount val="2"/>
                <c:pt idx="0">
                  <c:v>13249211.790000007</c:v>
                </c:pt>
                <c:pt idx="1">
                  <c:v>-1840047.33</c:v>
                </c:pt>
              </c:numCache>
            </c:numRef>
          </c:val>
          <c:extLst>
            <c:ext xmlns:c16="http://schemas.microsoft.com/office/drawing/2014/chart" uri="{C3380CC4-5D6E-409C-BE32-E72D297353CC}">
              <c16:uniqueId val="{00000000-CBCB-44C5-A469-05E08ABE180E}"/>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Suppliers Refunded/ Adjusted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'pivot workings'!$B$45</c:f>
              <c:strCache>
                <c:ptCount val="1"/>
                <c:pt idx="0">
                  <c:v>Total</c:v>
                </c:pt>
              </c:strCache>
            </c:strRef>
          </c:tx>
          <c:spPr>
            <a:solidFill>
              <a:schemeClr val="accent1"/>
            </a:solidFill>
            <a:ln>
              <a:noFill/>
            </a:ln>
            <a:effectLst/>
          </c:spPr>
          <c:invertIfNegative val="0"/>
          <c:cat>
            <c:strRef>
              <c:f>'pivot workings'!$A$46:$A$52</c:f>
              <c:strCache>
                <c:ptCount val="6"/>
                <c:pt idx="0">
                  <c:v>Pluralsight Llc</c:v>
                </c:pt>
                <c:pt idx="1">
                  <c:v>P S G Frieght Services</c:v>
                </c:pt>
                <c:pt idx="2">
                  <c:v>Coniston Limited</c:v>
                </c:pt>
                <c:pt idx="3">
                  <c:v>Kendall Kingscott Ltd</c:v>
                </c:pt>
                <c:pt idx="4">
                  <c:v>Philips Electronics Uk Limited</c:v>
                </c:pt>
                <c:pt idx="5">
                  <c:v>Practice Plus Group Urgent Care Limited</c:v>
                </c:pt>
              </c:strCache>
            </c:strRef>
          </c:cat>
          <c:val>
            <c:numRef>
              <c:f>'pivot workings'!$B$46:$B$52</c:f>
              <c:numCache>
                <c:formatCode>General</c:formatCode>
                <c:ptCount val="6"/>
                <c:pt idx="0">
                  <c:v>-28443</c:v>
                </c:pt>
                <c:pt idx="1">
                  <c:v>-32254.48</c:v>
                </c:pt>
                <c:pt idx="2">
                  <c:v>-75600</c:v>
                </c:pt>
                <c:pt idx="3">
                  <c:v>-136656</c:v>
                </c:pt>
                <c:pt idx="4">
                  <c:v>-770772.58</c:v>
                </c:pt>
                <c:pt idx="5">
                  <c:v>-796321.27</c:v>
                </c:pt>
              </c:numCache>
            </c:numRef>
          </c:val>
          <c:extLst>
            <c:ext xmlns:c16="http://schemas.microsoft.com/office/drawing/2014/chart" uri="{C3380CC4-5D6E-409C-BE32-E72D297353CC}">
              <c16:uniqueId val="{00000000-21A7-4964-B1A0-6B3AADE26B14}"/>
            </c:ext>
          </c:extLst>
        </c:ser>
        <c:dLbls>
          <c:showLegendKey val="0"/>
          <c:showVal val="0"/>
          <c:showCatName val="0"/>
          <c:showSerName val="0"/>
          <c:showPercent val="0"/>
          <c:showBubbleSize val="0"/>
        </c:dLbls>
        <c:gapWidth val="219"/>
        <c:overlap val="-27"/>
        <c:axId val="1555425216"/>
        <c:axId val="1513672304"/>
      </c:barChart>
      <c:catAx>
        <c:axId val="1555425216"/>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72304"/>
        <c:crosses val="autoZero"/>
        <c:auto val="1"/>
        <c:lblAlgn val="ctr"/>
        <c:lblOffset val="100"/>
        <c:noMultiLvlLbl val="0"/>
      </c:catAx>
      <c:valAx>
        <c:axId val="151367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42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Suppliers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 workings'!$B$58</c:f>
              <c:strCache>
                <c:ptCount val="1"/>
                <c:pt idx="0">
                  <c:v>Total</c:v>
                </c:pt>
              </c:strCache>
            </c:strRef>
          </c:tx>
          <c:spPr>
            <a:solidFill>
              <a:schemeClr val="accent1"/>
            </a:solidFill>
            <a:ln>
              <a:noFill/>
            </a:ln>
            <a:effectLst/>
          </c:spPr>
          <c:invertIfNegative val="0"/>
          <c:cat>
            <c:strRef>
              <c:f>'pivot workings'!$A$59:$A$69</c:f>
              <c:strCache>
                <c:ptCount val="10"/>
                <c:pt idx="0">
                  <c:v>Emerson Management Services Limited</c:v>
                </c:pt>
                <c:pt idx="1">
                  <c:v>Coniston Limited</c:v>
                </c:pt>
                <c:pt idx="2">
                  <c:v>BP Oil</c:v>
                </c:pt>
                <c:pt idx="3">
                  <c:v>London Central And West Ucc</c:v>
                </c:pt>
                <c:pt idx="4">
                  <c:v>P S G Frieght Services</c:v>
                </c:pt>
                <c:pt idx="5">
                  <c:v>Spence Refit Ltd</c:v>
                </c:pt>
                <c:pt idx="6">
                  <c:v>Boxxe</c:v>
                </c:pt>
                <c:pt idx="7">
                  <c:v>Bt Plc</c:v>
                </c:pt>
                <c:pt idx="8">
                  <c:v>Hays Specialist Recruitment Ltd</c:v>
                </c:pt>
                <c:pt idx="9">
                  <c:v>Herts Urgent Care</c:v>
                </c:pt>
              </c:strCache>
            </c:strRef>
          </c:cat>
          <c:val>
            <c:numRef>
              <c:f>'pivot workings'!$B$59:$B$69</c:f>
              <c:numCache>
                <c:formatCode>General</c:formatCode>
                <c:ptCount val="10"/>
                <c:pt idx="0">
                  <c:v>267298.8</c:v>
                </c:pt>
                <c:pt idx="1">
                  <c:v>302778.77</c:v>
                </c:pt>
                <c:pt idx="2">
                  <c:v>446608.59</c:v>
                </c:pt>
                <c:pt idx="3">
                  <c:v>494857</c:v>
                </c:pt>
                <c:pt idx="4">
                  <c:v>546664.44000000006</c:v>
                </c:pt>
                <c:pt idx="5">
                  <c:v>626254.19999999995</c:v>
                </c:pt>
                <c:pt idx="6">
                  <c:v>776834.21</c:v>
                </c:pt>
                <c:pt idx="7">
                  <c:v>1085874.57</c:v>
                </c:pt>
                <c:pt idx="8">
                  <c:v>1112518.1299999999</c:v>
                </c:pt>
                <c:pt idx="9">
                  <c:v>1548642.74</c:v>
                </c:pt>
              </c:numCache>
            </c:numRef>
          </c:val>
          <c:extLst>
            <c:ext xmlns:c16="http://schemas.microsoft.com/office/drawing/2014/chart" uri="{C3380CC4-5D6E-409C-BE32-E72D297353CC}">
              <c16:uniqueId val="{00000000-D755-4B0A-95D1-DEAC4A802665}"/>
            </c:ext>
          </c:extLst>
        </c:ser>
        <c:dLbls>
          <c:showLegendKey val="0"/>
          <c:showVal val="0"/>
          <c:showCatName val="0"/>
          <c:showSerName val="0"/>
          <c:showPercent val="0"/>
          <c:showBubbleSize val="0"/>
        </c:dLbls>
        <c:gapWidth val="182"/>
        <c:axId val="1513541840"/>
        <c:axId val="1346413504"/>
      </c:barChart>
      <c:catAx>
        <c:axId val="151354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13504"/>
        <c:crosses val="autoZero"/>
        <c:auto val="1"/>
        <c:lblAlgn val="ctr"/>
        <c:lblOffset val="100"/>
        <c:noMultiLvlLbl val="0"/>
      </c:catAx>
      <c:valAx>
        <c:axId val="1346413504"/>
        <c:scaling>
          <c:orientation val="minMax"/>
        </c:scaling>
        <c:delete val="1"/>
        <c:axPos val="b"/>
        <c:numFmt formatCode="General" sourceLinked="1"/>
        <c:majorTickMark val="none"/>
        <c:minorTickMark val="none"/>
        <c:tickLblPos val="nextTo"/>
        <c:crossAx val="1513541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workings!PivotTable3</c:name>
    <c:fmtId val="3"/>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Total Spending Contribution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plotArea>
      <c:layout/>
      <c:ofPieChart>
        <c:ofPieType val="pie"/>
        <c:varyColors val="1"/>
        <c:ser>
          <c:idx val="0"/>
          <c:order val="0"/>
          <c:tx>
            <c:strRef>
              <c:f>'pivot workings'!$B$36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workings'!$A$37:$A$39</c:f>
              <c:strCache>
                <c:ptCount val="2"/>
                <c:pt idx="0">
                  <c:v>Expenses</c:v>
                </c:pt>
                <c:pt idx="1">
                  <c:v>Refund/ Adjustment</c:v>
                </c:pt>
              </c:strCache>
            </c:strRef>
          </c:cat>
          <c:val>
            <c:numRef>
              <c:f>'pivot workings'!$B$37:$B$39</c:f>
              <c:numCache>
                <c:formatCode>General</c:formatCode>
                <c:ptCount val="2"/>
                <c:pt idx="0">
                  <c:v>13249211.790000007</c:v>
                </c:pt>
                <c:pt idx="1">
                  <c:v>-1840047.33</c:v>
                </c:pt>
              </c:numCache>
            </c:numRef>
          </c:val>
          <c:extLst>
            <c:ext xmlns:c16="http://schemas.microsoft.com/office/drawing/2014/chart" uri="{C3380CC4-5D6E-409C-BE32-E72D297353CC}">
              <c16:uniqueId val="{00000000-2F63-4208-B62F-F2C0C9C0DCE5}"/>
            </c:ext>
          </c:extLst>
        </c:ser>
        <c:dLbls>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Budget Expenses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workings'!$B$3</c:f>
              <c:strCache>
                <c:ptCount val="1"/>
                <c:pt idx="0">
                  <c:v>Total</c:v>
                </c:pt>
              </c:strCache>
            </c:strRef>
          </c:tx>
          <c:spPr>
            <a:solidFill>
              <a:schemeClr val="accent1"/>
            </a:solidFill>
            <a:ln>
              <a:noFill/>
            </a:ln>
            <a:effectLst/>
            <a:sp3d/>
          </c:spPr>
          <c:invertIfNegative val="0"/>
          <c:cat>
            <c:strRef>
              <c:f>'pivot workings'!$A$4:$A$14</c:f>
              <c:strCache>
                <c:ptCount val="10"/>
                <c:pt idx="0">
                  <c:v>Buildings</c:v>
                </c:pt>
                <c:pt idx="1">
                  <c:v>Computer Hardware</c:v>
                </c:pt>
                <c:pt idx="2">
                  <c:v>BP Control Account</c:v>
                </c:pt>
                <c:pt idx="3">
                  <c:v>Managed Service - Gps</c:v>
                </c:pt>
                <c:pt idx="4">
                  <c:v>Electrical Items</c:v>
                </c:pt>
                <c:pt idx="5">
                  <c:v>Managed Service - Adv Prac</c:v>
                </c:pt>
                <c:pt idx="6">
                  <c:v>Computer Software</c:v>
                </c:pt>
                <c:pt idx="7">
                  <c:v>Rent</c:v>
                </c:pt>
                <c:pt idx="8">
                  <c:v>Vehicles</c:v>
                </c:pt>
                <c:pt idx="9">
                  <c:v>Managed Service - Call Handler</c:v>
                </c:pt>
              </c:strCache>
            </c:strRef>
          </c:cat>
          <c:val>
            <c:numRef>
              <c:f>'pivot workings'!$B$4:$B$14</c:f>
              <c:numCache>
                <c:formatCode>General</c:formatCode>
                <c:ptCount val="10"/>
                <c:pt idx="0">
                  <c:v>382591.35000000003</c:v>
                </c:pt>
                <c:pt idx="1">
                  <c:v>421059.74</c:v>
                </c:pt>
                <c:pt idx="2">
                  <c:v>446608.59</c:v>
                </c:pt>
                <c:pt idx="3">
                  <c:v>515476.39</c:v>
                </c:pt>
                <c:pt idx="4">
                  <c:v>528082.92999999993</c:v>
                </c:pt>
                <c:pt idx="5">
                  <c:v>597041.74</c:v>
                </c:pt>
                <c:pt idx="6">
                  <c:v>807914.21</c:v>
                </c:pt>
                <c:pt idx="7">
                  <c:v>910578.76</c:v>
                </c:pt>
                <c:pt idx="8">
                  <c:v>1023827.1200000001</c:v>
                </c:pt>
                <c:pt idx="9">
                  <c:v>2117750.9400000004</c:v>
                </c:pt>
              </c:numCache>
            </c:numRef>
          </c:val>
          <c:extLst>
            <c:ext xmlns:c16="http://schemas.microsoft.com/office/drawing/2014/chart" uri="{C3380CC4-5D6E-409C-BE32-E72D297353CC}">
              <c16:uniqueId val="{00000000-188E-4D59-B94C-754D3D2A6624}"/>
            </c:ext>
          </c:extLst>
        </c:ser>
        <c:dLbls>
          <c:showLegendKey val="0"/>
          <c:showVal val="0"/>
          <c:showCatName val="0"/>
          <c:showSerName val="0"/>
          <c:showPercent val="0"/>
          <c:showBubbleSize val="0"/>
        </c:dLbls>
        <c:gapWidth val="150"/>
        <c:shape val="box"/>
        <c:axId val="1524475952"/>
        <c:axId val="1351955792"/>
        <c:axId val="0"/>
      </c:bar3DChart>
      <c:catAx>
        <c:axId val="15244759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955792"/>
        <c:crosses val="autoZero"/>
        <c:auto val="1"/>
        <c:lblAlgn val="ctr"/>
        <c:lblOffset val="100"/>
        <c:noMultiLvlLbl val="0"/>
      </c:catAx>
      <c:valAx>
        <c:axId val="1351955792"/>
        <c:scaling>
          <c:orientation val="minMax"/>
        </c:scaling>
        <c:delete val="1"/>
        <c:axPos val="b"/>
        <c:numFmt formatCode="General" sourceLinked="1"/>
        <c:majorTickMark val="none"/>
        <c:minorTickMark val="none"/>
        <c:tickLblPos val="nextTo"/>
        <c:crossAx val="152447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Expenses Areas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workings'!$B$20</c:f>
              <c:strCache>
                <c:ptCount val="1"/>
                <c:pt idx="0">
                  <c:v>Total</c:v>
                </c:pt>
              </c:strCache>
            </c:strRef>
          </c:tx>
          <c:spPr>
            <a:solidFill>
              <a:schemeClr val="accent1"/>
            </a:solidFill>
            <a:ln>
              <a:noFill/>
            </a:ln>
            <a:effectLst/>
            <a:sp3d/>
          </c:spPr>
          <c:invertIfNegative val="0"/>
          <c:cat>
            <c:strRef>
              <c:f>'pivot workings'!$A$21:$A$26</c:f>
              <c:strCache>
                <c:ptCount val="5"/>
                <c:pt idx="0">
                  <c:v>Capital</c:v>
                </c:pt>
                <c:pt idx="1">
                  <c:v>111 Iuc Central Cost</c:v>
                </c:pt>
                <c:pt idx="2">
                  <c:v>Microsoft Licenses</c:v>
                </c:pt>
                <c:pt idx="3">
                  <c:v>Networks</c:v>
                </c:pt>
                <c:pt idx="4">
                  <c:v>Balance Sheet</c:v>
                </c:pt>
              </c:strCache>
            </c:strRef>
          </c:cat>
          <c:val>
            <c:numRef>
              <c:f>'pivot workings'!$B$21:$B$26</c:f>
              <c:numCache>
                <c:formatCode>General</c:formatCode>
                <c:ptCount val="5"/>
                <c:pt idx="0">
                  <c:v>2473557.86</c:v>
                </c:pt>
                <c:pt idx="1">
                  <c:v>1548642.74</c:v>
                </c:pt>
                <c:pt idx="2">
                  <c:v>776834.21</c:v>
                </c:pt>
                <c:pt idx="3">
                  <c:v>772770.7</c:v>
                </c:pt>
                <c:pt idx="4">
                  <c:v>687452.58000000007</c:v>
                </c:pt>
              </c:numCache>
            </c:numRef>
          </c:val>
          <c:extLst>
            <c:ext xmlns:c16="http://schemas.microsoft.com/office/drawing/2014/chart" uri="{C3380CC4-5D6E-409C-BE32-E72D297353CC}">
              <c16:uniqueId val="{00000000-998A-4073-A3AF-BC70BFD7743C}"/>
            </c:ext>
          </c:extLst>
        </c:ser>
        <c:dLbls>
          <c:showLegendKey val="0"/>
          <c:showVal val="0"/>
          <c:showCatName val="0"/>
          <c:showSerName val="0"/>
          <c:showPercent val="0"/>
          <c:showBubbleSize val="0"/>
        </c:dLbls>
        <c:gapWidth val="150"/>
        <c:shape val="box"/>
        <c:axId val="1524607408"/>
        <c:axId val="1351253296"/>
        <c:axId val="0"/>
      </c:bar3DChart>
      <c:catAx>
        <c:axId val="1524607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253296"/>
        <c:crosses val="autoZero"/>
        <c:auto val="1"/>
        <c:lblAlgn val="ctr"/>
        <c:lblOffset val="100"/>
        <c:noMultiLvlLbl val="0"/>
      </c:catAx>
      <c:valAx>
        <c:axId val="1351253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607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Suppliers Refunded/ Adjusted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workings'!$B$45</c:f>
              <c:strCache>
                <c:ptCount val="1"/>
                <c:pt idx="0">
                  <c:v>Total</c:v>
                </c:pt>
              </c:strCache>
            </c:strRef>
          </c:tx>
          <c:spPr>
            <a:solidFill>
              <a:schemeClr val="accent1"/>
            </a:solidFill>
            <a:ln>
              <a:noFill/>
            </a:ln>
            <a:effectLst/>
          </c:spPr>
          <c:invertIfNegative val="0"/>
          <c:cat>
            <c:strRef>
              <c:f>'pivot workings'!$A$46:$A$52</c:f>
              <c:strCache>
                <c:ptCount val="6"/>
                <c:pt idx="0">
                  <c:v>Pluralsight Llc</c:v>
                </c:pt>
                <c:pt idx="1">
                  <c:v>P S G Frieght Services</c:v>
                </c:pt>
                <c:pt idx="2">
                  <c:v>Coniston Limited</c:v>
                </c:pt>
                <c:pt idx="3">
                  <c:v>Kendall Kingscott Ltd</c:v>
                </c:pt>
                <c:pt idx="4">
                  <c:v>Philips Electronics Uk Limited</c:v>
                </c:pt>
                <c:pt idx="5">
                  <c:v>Practice Plus Group Urgent Care Limited</c:v>
                </c:pt>
              </c:strCache>
            </c:strRef>
          </c:cat>
          <c:val>
            <c:numRef>
              <c:f>'pivot workings'!$B$46:$B$52</c:f>
              <c:numCache>
                <c:formatCode>General</c:formatCode>
                <c:ptCount val="6"/>
                <c:pt idx="0">
                  <c:v>-28443</c:v>
                </c:pt>
                <c:pt idx="1">
                  <c:v>-32254.48</c:v>
                </c:pt>
                <c:pt idx="2">
                  <c:v>-75600</c:v>
                </c:pt>
                <c:pt idx="3">
                  <c:v>-136656</c:v>
                </c:pt>
                <c:pt idx="4">
                  <c:v>-770772.58</c:v>
                </c:pt>
                <c:pt idx="5">
                  <c:v>-796321.27</c:v>
                </c:pt>
              </c:numCache>
            </c:numRef>
          </c:val>
          <c:extLst>
            <c:ext xmlns:c16="http://schemas.microsoft.com/office/drawing/2014/chart" uri="{C3380CC4-5D6E-409C-BE32-E72D297353CC}">
              <c16:uniqueId val="{00000000-27CA-48E4-AE9E-8B27DE3CDEF5}"/>
            </c:ext>
          </c:extLst>
        </c:ser>
        <c:dLbls>
          <c:showLegendKey val="0"/>
          <c:showVal val="0"/>
          <c:showCatName val="0"/>
          <c:showSerName val="0"/>
          <c:showPercent val="0"/>
          <c:showBubbleSize val="0"/>
        </c:dLbls>
        <c:gapWidth val="219"/>
        <c:overlap val="-27"/>
        <c:axId val="1555425216"/>
        <c:axId val="1513672304"/>
      </c:barChart>
      <c:catAx>
        <c:axId val="1555425216"/>
        <c:scaling>
          <c:orientation val="minMax"/>
        </c:scaling>
        <c:delete val="0"/>
        <c:axPos val="b"/>
        <c:numFmt formatCode="General" sourceLinked="1"/>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3672304"/>
        <c:crosses val="autoZero"/>
        <c:auto val="1"/>
        <c:lblAlgn val="ctr"/>
        <c:lblOffset val="100"/>
        <c:noMultiLvlLbl val="0"/>
      </c:catAx>
      <c:valAx>
        <c:axId val="15136723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425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Suppliers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'pivot workings'!$B$58</c:f>
              <c:strCache>
                <c:ptCount val="1"/>
                <c:pt idx="0">
                  <c:v>Total</c:v>
                </c:pt>
              </c:strCache>
            </c:strRef>
          </c:tx>
          <c:spPr>
            <a:solidFill>
              <a:schemeClr val="accent1"/>
            </a:solidFill>
            <a:ln>
              <a:noFill/>
            </a:ln>
            <a:effectLst/>
          </c:spPr>
          <c:invertIfNegative val="0"/>
          <c:cat>
            <c:strRef>
              <c:f>'pivot workings'!$A$59:$A$69</c:f>
              <c:strCache>
                <c:ptCount val="10"/>
                <c:pt idx="0">
                  <c:v>Emerson Management Services Limited</c:v>
                </c:pt>
                <c:pt idx="1">
                  <c:v>Coniston Limited</c:v>
                </c:pt>
                <c:pt idx="2">
                  <c:v>BP Oil</c:v>
                </c:pt>
                <c:pt idx="3">
                  <c:v>London Central And West Ucc</c:v>
                </c:pt>
                <c:pt idx="4">
                  <c:v>P S G Frieght Services</c:v>
                </c:pt>
                <c:pt idx="5">
                  <c:v>Spence Refit Ltd</c:v>
                </c:pt>
                <c:pt idx="6">
                  <c:v>Boxxe</c:v>
                </c:pt>
                <c:pt idx="7">
                  <c:v>Bt Plc</c:v>
                </c:pt>
                <c:pt idx="8">
                  <c:v>Hays Specialist Recruitment Ltd</c:v>
                </c:pt>
                <c:pt idx="9">
                  <c:v>Herts Urgent Care</c:v>
                </c:pt>
              </c:strCache>
            </c:strRef>
          </c:cat>
          <c:val>
            <c:numRef>
              <c:f>'pivot workings'!$B$59:$B$69</c:f>
              <c:numCache>
                <c:formatCode>General</c:formatCode>
                <c:ptCount val="10"/>
                <c:pt idx="0">
                  <c:v>267298.8</c:v>
                </c:pt>
                <c:pt idx="1">
                  <c:v>302778.77</c:v>
                </c:pt>
                <c:pt idx="2">
                  <c:v>446608.59</c:v>
                </c:pt>
                <c:pt idx="3">
                  <c:v>494857</c:v>
                </c:pt>
                <c:pt idx="4">
                  <c:v>546664.44000000006</c:v>
                </c:pt>
                <c:pt idx="5">
                  <c:v>626254.19999999995</c:v>
                </c:pt>
                <c:pt idx="6">
                  <c:v>776834.21</c:v>
                </c:pt>
                <c:pt idx="7">
                  <c:v>1085874.57</c:v>
                </c:pt>
                <c:pt idx="8">
                  <c:v>1112518.1299999999</c:v>
                </c:pt>
                <c:pt idx="9">
                  <c:v>1548642.74</c:v>
                </c:pt>
              </c:numCache>
            </c:numRef>
          </c:val>
          <c:extLst>
            <c:ext xmlns:c16="http://schemas.microsoft.com/office/drawing/2014/chart" uri="{C3380CC4-5D6E-409C-BE32-E72D297353CC}">
              <c16:uniqueId val="{00000000-77CE-46D5-AEF9-3B1EDE4C15FA}"/>
            </c:ext>
          </c:extLst>
        </c:ser>
        <c:dLbls>
          <c:showLegendKey val="0"/>
          <c:showVal val="0"/>
          <c:showCatName val="0"/>
          <c:showSerName val="0"/>
          <c:showPercent val="0"/>
          <c:showBubbleSize val="0"/>
        </c:dLbls>
        <c:gapWidth val="182"/>
        <c:axId val="1513541840"/>
        <c:axId val="1346413504"/>
      </c:barChart>
      <c:catAx>
        <c:axId val="1513541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6413504"/>
        <c:crosses val="autoZero"/>
        <c:auto val="1"/>
        <c:lblAlgn val="ctr"/>
        <c:lblOffset val="100"/>
        <c:noMultiLvlLbl val="0"/>
      </c:catAx>
      <c:valAx>
        <c:axId val="1346413504"/>
        <c:scaling>
          <c:orientation val="minMax"/>
        </c:scaling>
        <c:delete val="1"/>
        <c:axPos val="b"/>
        <c:numFmt formatCode="General" sourceLinked="1"/>
        <c:majorTickMark val="none"/>
        <c:minorTickMark val="none"/>
        <c:tickLblPos val="nextTo"/>
        <c:crossAx val="15135418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[Transparency Report solved (Recovered).xlsx]pivot workings!PivotTable3</c:name>
    <c:fmtId val="5"/>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Total Spending Contribution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ofPieChart>
        <c:ofPieType val="pie"/>
        <c:varyColors val="1"/>
        <c:ser>
          <c:idx val="0"/>
          <c:order val="0"/>
          <c:tx>
            <c:strRef>
              <c:f>'pivot workings'!$B$36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DB-4378-921C-623ACFD6D8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DB-4378-921C-623ACFD6D8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DB-4378-921C-623ACFD6D8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workings'!$A$37:$A$39</c:f>
              <c:strCache>
                <c:ptCount val="2"/>
                <c:pt idx="0">
                  <c:v>Expenses</c:v>
                </c:pt>
                <c:pt idx="1">
                  <c:v>Refund/ Adjustment</c:v>
                </c:pt>
              </c:strCache>
            </c:strRef>
          </c:cat>
          <c:val>
            <c:numRef>
              <c:f>'pivot workings'!$B$37:$B$39</c:f>
              <c:numCache>
                <c:formatCode>General</c:formatCode>
                <c:ptCount val="2"/>
                <c:pt idx="0">
                  <c:v>13249211.790000007</c:v>
                </c:pt>
                <c:pt idx="1">
                  <c:v>-1840047.33</c:v>
                </c:pt>
              </c:numCache>
            </c:numRef>
          </c:val>
          <c:extLst>
            <c:ext xmlns:c16="http://schemas.microsoft.com/office/drawing/2014/chart" uri="{C3380CC4-5D6E-409C-BE32-E72D297353CC}">
              <c16:uniqueId val="{00000006-7FDB-4378-921C-623ACFD6D819}"/>
            </c:ext>
          </c:extLst>
        </c:ser>
        <c:dLbls>
          <c:showLegendKey val="0"/>
          <c:showVal val="1"/>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image" Target="../media/image1.jpe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594360</xdr:colOff>
      <xdr:row>0</xdr:row>
      <xdr:rowOff>179070</xdr:rowOff>
    </xdr:from>
    <xdr:to>
      <xdr:col>10</xdr:col>
      <xdr:colOff>289560</xdr:colOff>
      <xdr:row>15</xdr:row>
      <xdr:rowOff>179070</xdr:rowOff>
    </xdr:to>
    <xdr:graphicFrame macro="">
      <xdr:nvGraphicFramePr>
        <xdr:cNvPr id="3" name="Chart 2">
          <a:extLst>
            <a:ext uri="{FF2B5EF4-FFF2-40B4-BE49-F238E27FC236}">
              <a16:creationId xmlns:a16="http://schemas.microsoft.com/office/drawing/2014/main" id="{0ACFAF33-80AC-4406-AED0-43ACF4327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16</xdr:row>
      <xdr:rowOff>34290</xdr:rowOff>
    </xdr:from>
    <xdr:to>
      <xdr:col>10</xdr:col>
      <xdr:colOff>304800</xdr:colOff>
      <xdr:row>31</xdr:row>
      <xdr:rowOff>34290</xdr:rowOff>
    </xdr:to>
    <xdr:graphicFrame macro="">
      <xdr:nvGraphicFramePr>
        <xdr:cNvPr id="4" name="Chart 3">
          <a:extLst>
            <a:ext uri="{FF2B5EF4-FFF2-40B4-BE49-F238E27FC236}">
              <a16:creationId xmlns:a16="http://schemas.microsoft.com/office/drawing/2014/main" id="{22922DAD-66BF-4878-A9DE-7101324F1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457200</xdr:colOff>
      <xdr:row>2</xdr:row>
      <xdr:rowOff>72390</xdr:rowOff>
    </xdr:from>
    <xdr:to>
      <xdr:col>18</xdr:col>
      <xdr:colOff>152400</xdr:colOff>
      <xdr:row>17</xdr:row>
      <xdr:rowOff>72390</xdr:rowOff>
    </xdr:to>
    <xdr:graphicFrame macro="">
      <xdr:nvGraphicFramePr>
        <xdr:cNvPr id="5" name="Chart 4">
          <a:extLst>
            <a:ext uri="{FF2B5EF4-FFF2-40B4-BE49-F238E27FC236}">
              <a16:creationId xmlns:a16="http://schemas.microsoft.com/office/drawing/2014/main" id="{5ED0B31E-5FD9-4DA2-9BEF-1E961D5ED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99060</xdr:colOff>
      <xdr:row>18</xdr:row>
      <xdr:rowOff>34290</xdr:rowOff>
    </xdr:from>
    <xdr:to>
      <xdr:col>18</xdr:col>
      <xdr:colOff>403860</xdr:colOff>
      <xdr:row>33</xdr:row>
      <xdr:rowOff>34290</xdr:rowOff>
    </xdr:to>
    <xdr:graphicFrame macro="">
      <xdr:nvGraphicFramePr>
        <xdr:cNvPr id="6" name="Chart 5">
          <a:extLst>
            <a:ext uri="{FF2B5EF4-FFF2-40B4-BE49-F238E27FC236}">
              <a16:creationId xmlns:a16="http://schemas.microsoft.com/office/drawing/2014/main" id="{60241BAD-8EC3-4097-8FA7-7F0919CC1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30480</xdr:colOff>
      <xdr:row>33</xdr:row>
      <xdr:rowOff>11430</xdr:rowOff>
    </xdr:from>
    <xdr:to>
      <xdr:col>13</xdr:col>
      <xdr:colOff>350520</xdr:colOff>
      <xdr:row>48</xdr:row>
      <xdr:rowOff>11430</xdr:rowOff>
    </xdr:to>
    <xdr:graphicFrame macro="">
      <xdr:nvGraphicFramePr>
        <xdr:cNvPr id="7" name="Chart 6">
          <a:extLst>
            <a:ext uri="{FF2B5EF4-FFF2-40B4-BE49-F238E27FC236}">
              <a16:creationId xmlns:a16="http://schemas.microsoft.com/office/drawing/2014/main" id="{3394838E-5BD8-4055-AE09-907F85A9C3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320040</xdr:colOff>
      <xdr:row>28</xdr:row>
      <xdr:rowOff>72390</xdr:rowOff>
    </xdr:from>
    <xdr:to>
      <xdr:col>9</xdr:col>
      <xdr:colOff>815340</xdr:colOff>
      <xdr:row>43</xdr:row>
      <xdr:rowOff>72390</xdr:rowOff>
    </xdr:to>
    <xdr:graphicFrame macro="">
      <xdr:nvGraphicFramePr>
        <xdr:cNvPr id="2" name="Chart 1">
          <a:extLst>
            <a:ext uri="{FF2B5EF4-FFF2-40B4-BE49-F238E27FC236}">
              <a16:creationId xmlns:a16="http://schemas.microsoft.com/office/drawing/2014/main" id="{65B01BB3-07DD-4CD6-ABE0-C54717CDEC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xdr:row>
      <xdr:rowOff>15240</xdr:rowOff>
    </xdr:to>
    <xdr:sp macro="" textlink="">
      <xdr:nvSpPr>
        <xdr:cNvPr id="2" name="Rectangle 1">
          <a:extLst>
            <a:ext uri="{FF2B5EF4-FFF2-40B4-BE49-F238E27FC236}">
              <a16:creationId xmlns:a16="http://schemas.microsoft.com/office/drawing/2014/main" id="{F1081982-3A92-43E4-9599-4FB4B8C4E223}"/>
            </a:ext>
          </a:extLst>
        </xdr:cNvPr>
        <xdr:cNvSpPr/>
      </xdr:nvSpPr>
      <xdr:spPr>
        <a:xfrm>
          <a:off x="0" y="0"/>
          <a:ext cx="15849600" cy="563880"/>
        </a:xfrm>
        <a:prstGeom prst="rect">
          <a:avLst/>
        </a:prstGeom>
        <a:ln>
          <a:solidFill>
            <a:srgbClr val="0066CC"/>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2" algn="ctr"/>
          <a:r>
            <a:rPr lang="en-GB" sz="2400">
              <a:latin typeface="Franklin Gothic Heavy" panose="020B0903020102020204" pitchFamily="34" charset="0"/>
            </a:rPr>
            <a:t>London Ambulance</a:t>
          </a:r>
          <a:r>
            <a:rPr lang="en-GB" sz="2400" baseline="0">
              <a:latin typeface="Franklin Gothic Heavy" panose="020B0903020102020204" pitchFamily="34" charset="0"/>
            </a:rPr>
            <a:t> Service - High-value Spend &amp; Procurement Analysis</a:t>
          </a:r>
          <a:endParaRPr lang="en-GB" sz="2400">
            <a:latin typeface="Franklin Gothic Heavy" panose="020B0903020102020204" pitchFamily="34" charset="0"/>
          </a:endParaRPr>
        </a:p>
      </xdr:txBody>
    </xdr:sp>
    <xdr:clientData/>
  </xdr:twoCellAnchor>
  <xdr:twoCellAnchor editAs="oneCell">
    <xdr:from>
      <xdr:col>1</xdr:col>
      <xdr:colOff>571500</xdr:colOff>
      <xdr:row>0</xdr:row>
      <xdr:rowOff>22860</xdr:rowOff>
    </xdr:from>
    <xdr:to>
      <xdr:col>4</xdr:col>
      <xdr:colOff>30480</xdr:colOff>
      <xdr:row>3</xdr:row>
      <xdr:rowOff>30480</xdr:rowOff>
    </xdr:to>
    <xdr:pic>
      <xdr:nvPicPr>
        <xdr:cNvPr id="4" name="Picture 3">
          <a:extLst>
            <a:ext uri="{FF2B5EF4-FFF2-40B4-BE49-F238E27FC236}">
              <a16:creationId xmlns:a16="http://schemas.microsoft.com/office/drawing/2014/main" id="{FD15CA02-A075-4665-9A7D-52DBDD0D4C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81100" y="22860"/>
          <a:ext cx="1287780" cy="556260"/>
        </a:xfrm>
        <a:prstGeom prst="rect">
          <a:avLst/>
        </a:prstGeom>
      </xdr:spPr>
    </xdr:pic>
    <xdr:clientData/>
  </xdr:twoCellAnchor>
  <xdr:twoCellAnchor>
    <xdr:from>
      <xdr:col>5</xdr:col>
      <xdr:colOff>449580</xdr:colOff>
      <xdr:row>3</xdr:row>
      <xdr:rowOff>76200</xdr:rowOff>
    </xdr:from>
    <xdr:to>
      <xdr:col>10</xdr:col>
      <xdr:colOff>76200</xdr:colOff>
      <xdr:row>8</xdr:row>
      <xdr:rowOff>144780</xdr:rowOff>
    </xdr:to>
    <xdr:sp macro="" textlink="'pivot workings'!H59">
      <xdr:nvSpPr>
        <xdr:cNvPr id="5" name="Rectangle: Rounded Corners 4">
          <a:extLst>
            <a:ext uri="{FF2B5EF4-FFF2-40B4-BE49-F238E27FC236}">
              <a16:creationId xmlns:a16="http://schemas.microsoft.com/office/drawing/2014/main" id="{65185B4A-A796-4897-BACC-C63E2B2FCC8C}"/>
            </a:ext>
          </a:extLst>
        </xdr:cNvPr>
        <xdr:cNvSpPr/>
      </xdr:nvSpPr>
      <xdr:spPr>
        <a:xfrm>
          <a:off x="3497580" y="624840"/>
          <a:ext cx="2674620" cy="982980"/>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EF318300-2670-4D42-B8F5-0989832C3D6A}" type="TxLink">
            <a:rPr lang="en-US" sz="2400" b="0" i="0" u="none" strike="noStrike">
              <a:solidFill>
                <a:srgbClr val="000000"/>
              </a:solidFill>
              <a:latin typeface="Franklin Gothic Heavy" panose="020B0903020102020204" pitchFamily="34" charset="0"/>
              <a:ea typeface="Calibri"/>
              <a:cs typeface="Calibri"/>
            </a:rPr>
            <a:pPr algn="ctr"/>
            <a:t>£13,249,212</a:t>
          </a:fld>
          <a:endParaRPr lang="en-US" sz="2400" b="0" i="0" u="none" strike="noStrike">
            <a:solidFill>
              <a:srgbClr val="000000"/>
            </a:solidFill>
            <a:latin typeface="Franklin Gothic Heavy" panose="020B0903020102020204" pitchFamily="34" charset="0"/>
            <a:ea typeface="Calibri"/>
            <a:cs typeface="Calibri"/>
          </a:endParaRPr>
        </a:p>
        <a:p>
          <a:pPr algn="ctr"/>
          <a:endParaRPr lang="en-US" sz="1400" b="0" i="0" u="none" strike="noStrike">
            <a:solidFill>
              <a:srgbClr val="000000"/>
            </a:solidFill>
            <a:latin typeface="Franklin Gothic Heavy" panose="020B0903020102020204" pitchFamily="34" charset="0"/>
            <a:ea typeface="Calibri"/>
            <a:cs typeface="Calibri"/>
          </a:endParaRPr>
        </a:p>
        <a:p>
          <a:pPr algn="ctr"/>
          <a:r>
            <a:rPr lang="en-US" sz="1400" b="0" i="0" u="none" strike="noStrike">
              <a:solidFill>
                <a:srgbClr val="000000"/>
              </a:solidFill>
              <a:latin typeface="Franklin Gothic Heavy" panose="020B0903020102020204" pitchFamily="34" charset="0"/>
              <a:ea typeface="Calibri"/>
              <a:cs typeface="Calibri"/>
            </a:rPr>
            <a:t>Gross</a:t>
          </a:r>
          <a:r>
            <a:rPr lang="en-US" sz="1400" b="0" i="0" u="none" strike="noStrike" baseline="0">
              <a:solidFill>
                <a:srgbClr val="000000"/>
              </a:solidFill>
              <a:latin typeface="Franklin Gothic Heavy" panose="020B0903020102020204" pitchFamily="34" charset="0"/>
              <a:ea typeface="Calibri"/>
              <a:cs typeface="Calibri"/>
            </a:rPr>
            <a:t> Spend</a:t>
          </a:r>
          <a:endParaRPr lang="en-US" sz="1400" b="0" i="0" u="none" strike="noStrike">
            <a:solidFill>
              <a:srgbClr val="000000"/>
            </a:solidFill>
            <a:latin typeface="Franklin Gothic Heavy" panose="020B0903020102020204" pitchFamily="34" charset="0"/>
            <a:ea typeface="Calibri"/>
            <a:cs typeface="Calibri"/>
          </a:endParaRPr>
        </a:p>
      </xdr:txBody>
    </xdr:sp>
    <xdr:clientData/>
  </xdr:twoCellAnchor>
  <xdr:twoCellAnchor>
    <xdr:from>
      <xdr:col>11</xdr:col>
      <xdr:colOff>297180</xdr:colOff>
      <xdr:row>3</xdr:row>
      <xdr:rowOff>83820</xdr:rowOff>
    </xdr:from>
    <xdr:to>
      <xdr:col>15</xdr:col>
      <xdr:colOff>586740</xdr:colOff>
      <xdr:row>8</xdr:row>
      <xdr:rowOff>129540</xdr:rowOff>
    </xdr:to>
    <xdr:sp macro="" textlink="'pivot workings'!H60">
      <xdr:nvSpPr>
        <xdr:cNvPr id="6" name="Rectangle: Rounded Corners 5">
          <a:extLst>
            <a:ext uri="{FF2B5EF4-FFF2-40B4-BE49-F238E27FC236}">
              <a16:creationId xmlns:a16="http://schemas.microsoft.com/office/drawing/2014/main" id="{3AF0ACD2-0F7A-4DF4-9668-D58471EACDB9}"/>
            </a:ext>
          </a:extLst>
        </xdr:cNvPr>
        <xdr:cNvSpPr/>
      </xdr:nvSpPr>
      <xdr:spPr>
        <a:xfrm>
          <a:off x="7002780" y="632460"/>
          <a:ext cx="2727960" cy="960120"/>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F6B7888A-F305-475F-8C70-7A9343CA33CF}" type="TxLink">
            <a:rPr lang="en-US" sz="2400" b="0" i="0" u="none" strike="noStrike">
              <a:solidFill>
                <a:srgbClr val="000000"/>
              </a:solidFill>
              <a:latin typeface="Franklin Gothic Heavy" panose="020B0903020102020204" pitchFamily="34" charset="0"/>
              <a:ea typeface="Calibri"/>
              <a:cs typeface="Calibri"/>
            </a:rPr>
            <a:pPr algn="ctr"/>
            <a:t>-£1,840,047</a:t>
          </a:fld>
          <a:endParaRPr lang="en-US" sz="1400" b="0" i="0" u="none" strike="noStrike">
            <a:solidFill>
              <a:srgbClr val="000000"/>
            </a:solidFill>
            <a:latin typeface="Franklin Gothic Heavy" panose="020B0903020102020204" pitchFamily="34" charset="0"/>
            <a:ea typeface="Calibri"/>
            <a:cs typeface="Calibri"/>
          </a:endParaRPr>
        </a:p>
        <a:p>
          <a:pPr algn="l"/>
          <a:endParaRPr lang="en-US" sz="1400" b="0" i="0" u="none" strike="noStrike">
            <a:solidFill>
              <a:srgbClr val="000000"/>
            </a:solidFill>
            <a:latin typeface="Franklin Gothic Heavy" panose="020B0903020102020204" pitchFamily="34" charset="0"/>
            <a:ea typeface="Calibri"/>
            <a:cs typeface="Calibri"/>
          </a:endParaRPr>
        </a:p>
        <a:p>
          <a:pPr algn="ctr"/>
          <a:r>
            <a:rPr lang="en-US" sz="1400" b="0" i="0" u="none" strike="noStrike">
              <a:solidFill>
                <a:srgbClr val="000000"/>
              </a:solidFill>
              <a:latin typeface="Franklin Gothic Heavy" panose="020B0903020102020204" pitchFamily="34" charset="0"/>
              <a:ea typeface="Calibri"/>
              <a:cs typeface="Calibri"/>
            </a:rPr>
            <a:t>Refund/</a:t>
          </a:r>
          <a:r>
            <a:rPr lang="en-US" sz="1400" b="0" i="0" u="none" strike="noStrike" baseline="0">
              <a:solidFill>
                <a:srgbClr val="000000"/>
              </a:solidFill>
              <a:latin typeface="Franklin Gothic Heavy" panose="020B0903020102020204" pitchFamily="34" charset="0"/>
              <a:ea typeface="Calibri"/>
              <a:cs typeface="Calibri"/>
            </a:rPr>
            <a:t> Adjustment</a:t>
          </a:r>
          <a:endParaRPr lang="en-GB" sz="2400">
            <a:latin typeface="Franklin Gothic Heavy" panose="020B0903020102020204" pitchFamily="34" charset="0"/>
          </a:endParaRPr>
        </a:p>
      </xdr:txBody>
    </xdr:sp>
    <xdr:clientData/>
  </xdr:twoCellAnchor>
  <xdr:twoCellAnchor>
    <xdr:from>
      <xdr:col>17</xdr:col>
      <xdr:colOff>167640</xdr:colOff>
      <xdr:row>3</xdr:row>
      <xdr:rowOff>76200</xdr:rowOff>
    </xdr:from>
    <xdr:to>
      <xdr:col>21</xdr:col>
      <xdr:colOff>411480</xdr:colOff>
      <xdr:row>8</xdr:row>
      <xdr:rowOff>121920</xdr:rowOff>
    </xdr:to>
    <xdr:sp macro="" textlink="'pivot workings'!H61">
      <xdr:nvSpPr>
        <xdr:cNvPr id="7" name="Rectangle: Rounded Corners 6">
          <a:extLst>
            <a:ext uri="{FF2B5EF4-FFF2-40B4-BE49-F238E27FC236}">
              <a16:creationId xmlns:a16="http://schemas.microsoft.com/office/drawing/2014/main" id="{69E7BE05-5E67-43E2-9F50-ACE244E08E50}"/>
            </a:ext>
          </a:extLst>
        </xdr:cNvPr>
        <xdr:cNvSpPr/>
      </xdr:nvSpPr>
      <xdr:spPr>
        <a:xfrm>
          <a:off x="10530840" y="624840"/>
          <a:ext cx="2682240" cy="960120"/>
        </a:xfrm>
        <a:prstGeom prst="roundRect">
          <a:avLst/>
        </a:prstGeom>
        <a:solidFill>
          <a:schemeClr val="bg1"/>
        </a:solid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46DFC3F-6810-473B-94A1-062EB849D96C}" type="TxLink">
            <a:rPr lang="en-US" sz="2400" b="0" i="0" u="none" strike="noStrike">
              <a:solidFill>
                <a:srgbClr val="000000"/>
              </a:solidFill>
              <a:latin typeface="Franklin Gothic Heavy" panose="020B0903020102020204" pitchFamily="34" charset="0"/>
              <a:ea typeface="Calibri"/>
              <a:cs typeface="Calibri"/>
            </a:rPr>
            <a:pPr algn="ctr"/>
            <a:t>£11,409,164</a:t>
          </a:fld>
          <a:endParaRPr lang="en-US" sz="1400" b="0" i="0" u="none" strike="noStrike">
            <a:solidFill>
              <a:srgbClr val="000000"/>
            </a:solidFill>
            <a:latin typeface="Franklin Gothic Heavy" panose="020B0903020102020204" pitchFamily="34" charset="0"/>
            <a:ea typeface="Calibri"/>
            <a:cs typeface="Calibri"/>
          </a:endParaRPr>
        </a:p>
        <a:p>
          <a:pPr algn="l"/>
          <a:endParaRPr lang="en-US" sz="1400" b="0" i="0" u="none" strike="noStrike">
            <a:solidFill>
              <a:srgbClr val="000000"/>
            </a:solidFill>
            <a:latin typeface="Franklin Gothic Heavy" panose="020B0903020102020204" pitchFamily="34" charset="0"/>
            <a:ea typeface="Calibri"/>
            <a:cs typeface="Calibri"/>
          </a:endParaRPr>
        </a:p>
        <a:p>
          <a:pPr algn="ctr"/>
          <a:r>
            <a:rPr lang="en-US" sz="1400" b="0" i="0" u="none" strike="noStrike">
              <a:solidFill>
                <a:srgbClr val="000000"/>
              </a:solidFill>
              <a:latin typeface="Franklin Gothic Heavy" panose="020B0903020102020204" pitchFamily="34" charset="0"/>
              <a:ea typeface="Calibri"/>
              <a:cs typeface="Calibri"/>
            </a:rPr>
            <a:t>Net Spend</a:t>
          </a:r>
          <a:endParaRPr lang="en-GB" sz="2400">
            <a:latin typeface="Franklin Gothic Heavy" panose="020B0903020102020204" pitchFamily="34" charset="0"/>
          </a:endParaRPr>
        </a:p>
      </xdr:txBody>
    </xdr:sp>
    <xdr:clientData/>
  </xdr:twoCellAnchor>
  <xdr:twoCellAnchor>
    <xdr:from>
      <xdr:col>3</xdr:col>
      <xdr:colOff>9526</xdr:colOff>
      <xdr:row>9</xdr:row>
      <xdr:rowOff>9525</xdr:rowOff>
    </xdr:from>
    <xdr:to>
      <xdr:col>11</xdr:col>
      <xdr:colOff>9525</xdr:colOff>
      <xdr:row>24</xdr:row>
      <xdr:rowOff>19050</xdr:rowOff>
    </xdr:to>
    <xdr:graphicFrame macro="">
      <xdr:nvGraphicFramePr>
        <xdr:cNvPr id="8" name="Chart 7">
          <a:extLst>
            <a:ext uri="{FF2B5EF4-FFF2-40B4-BE49-F238E27FC236}">
              <a16:creationId xmlns:a16="http://schemas.microsoft.com/office/drawing/2014/main" id="{D2D61E0A-A070-4BAA-A358-52C269D11E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28575</xdr:colOff>
      <xdr:row>9</xdr:row>
      <xdr:rowOff>0</xdr:rowOff>
    </xdr:from>
    <xdr:to>
      <xdr:col>18</xdr:col>
      <xdr:colOff>600075</xdr:colOff>
      <xdr:row>24</xdr:row>
      <xdr:rowOff>9525</xdr:rowOff>
    </xdr:to>
    <xdr:graphicFrame macro="">
      <xdr:nvGraphicFramePr>
        <xdr:cNvPr id="10" name="Chart 9">
          <a:extLst>
            <a:ext uri="{FF2B5EF4-FFF2-40B4-BE49-F238E27FC236}">
              <a16:creationId xmlns:a16="http://schemas.microsoft.com/office/drawing/2014/main" id="{45349C31-9011-4FC4-A319-EEA93A35D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609599</xdr:colOff>
      <xdr:row>24</xdr:row>
      <xdr:rowOff>38100</xdr:rowOff>
    </xdr:from>
    <xdr:to>
      <xdr:col>10</xdr:col>
      <xdr:colOff>600074</xdr:colOff>
      <xdr:row>39</xdr:row>
      <xdr:rowOff>66675</xdr:rowOff>
    </xdr:to>
    <xdr:graphicFrame macro="">
      <xdr:nvGraphicFramePr>
        <xdr:cNvPr id="11" name="Chart 10">
          <a:extLst>
            <a:ext uri="{FF2B5EF4-FFF2-40B4-BE49-F238E27FC236}">
              <a16:creationId xmlns:a16="http://schemas.microsoft.com/office/drawing/2014/main" id="{1BF9F663-3C24-4A2C-88CC-3E57ECAE52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19049</xdr:colOff>
      <xdr:row>24</xdr:row>
      <xdr:rowOff>28575</xdr:rowOff>
    </xdr:from>
    <xdr:to>
      <xdr:col>25</xdr:col>
      <xdr:colOff>581024</xdr:colOff>
      <xdr:row>39</xdr:row>
      <xdr:rowOff>57150</xdr:rowOff>
    </xdr:to>
    <xdr:graphicFrame macro="">
      <xdr:nvGraphicFramePr>
        <xdr:cNvPr id="12" name="Chart 11">
          <a:extLst>
            <a:ext uri="{FF2B5EF4-FFF2-40B4-BE49-F238E27FC236}">
              <a16:creationId xmlns:a16="http://schemas.microsoft.com/office/drawing/2014/main" id="{8E876471-8EF3-4A6D-B2BC-1B1387A66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18</xdr:row>
      <xdr:rowOff>108041</xdr:rowOff>
    </xdr:from>
    <xdr:to>
      <xdr:col>3</xdr:col>
      <xdr:colOff>0</xdr:colOff>
      <xdr:row>24</xdr:row>
      <xdr:rowOff>10887</xdr:rowOff>
    </xdr:to>
    <mc:AlternateContent xmlns:mc="http://schemas.openxmlformats.org/markup-compatibility/2006" xmlns:a14="http://schemas.microsoft.com/office/drawing/2010/main">
      <mc:Choice Requires="a14">
        <xdr:graphicFrame macro="">
          <xdr:nvGraphicFramePr>
            <xdr:cNvPr id="16" name="Transaction_type">
              <a:extLst>
                <a:ext uri="{FF2B5EF4-FFF2-40B4-BE49-F238E27FC236}">
                  <a16:creationId xmlns:a16="http://schemas.microsoft.com/office/drawing/2014/main" id="{FB5B8BB9-889C-4C77-8699-C8500673C105}"/>
                </a:ext>
              </a:extLst>
            </xdr:cNvPr>
            <xdr:cNvGraphicFramePr/>
          </xdr:nvGraphicFramePr>
          <xdr:xfrm>
            <a:off x="0" y="0"/>
            <a:ext cx="0" cy="0"/>
          </xdr:xfrm>
          <a:graphic>
            <a:graphicData uri="http://schemas.microsoft.com/office/drawing/2010/slicer">
              <sle:slicer xmlns:sle="http://schemas.microsoft.com/office/drawing/2010/slicer" name="Transaction_type"/>
            </a:graphicData>
          </a:graphic>
        </xdr:graphicFrame>
      </mc:Choice>
      <mc:Fallback xmlns="">
        <xdr:sp macro="" textlink="">
          <xdr:nvSpPr>
            <xdr:cNvPr id="0" name=""/>
            <xdr:cNvSpPr>
              <a:spLocks noTextEdit="1"/>
            </xdr:cNvSpPr>
          </xdr:nvSpPr>
          <xdr:spPr>
            <a:xfrm>
              <a:off x="0" y="3439070"/>
              <a:ext cx="1828800" cy="10131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46809</xdr:rowOff>
    </xdr:from>
    <xdr:to>
      <xdr:col>2</xdr:col>
      <xdr:colOff>587828</xdr:colOff>
      <xdr:row>18</xdr:row>
      <xdr:rowOff>43542</xdr:rowOff>
    </xdr:to>
    <mc:AlternateContent xmlns:mc="http://schemas.openxmlformats.org/markup-compatibility/2006" xmlns:a14="http://schemas.microsoft.com/office/drawing/2010/main">
      <mc:Choice Requires="a14">
        <xdr:graphicFrame macro="">
          <xdr:nvGraphicFramePr>
            <xdr:cNvPr id="19" name="Date">
              <a:extLst>
                <a:ext uri="{FF2B5EF4-FFF2-40B4-BE49-F238E27FC236}">
                  <a16:creationId xmlns:a16="http://schemas.microsoft.com/office/drawing/2014/main" id="{78982ABD-2EC8-4EA0-AB85-B09C888E786E}"/>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0" y="601980"/>
              <a:ext cx="1774370" cy="23262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21772</xdr:colOff>
      <xdr:row>9</xdr:row>
      <xdr:rowOff>0</xdr:rowOff>
    </xdr:from>
    <xdr:to>
      <xdr:col>26</xdr:col>
      <xdr:colOff>21771</xdr:colOff>
      <xdr:row>23</xdr:row>
      <xdr:rowOff>174171</xdr:rowOff>
    </xdr:to>
    <xdr:graphicFrame macro="">
      <xdr:nvGraphicFramePr>
        <xdr:cNvPr id="14" name="Chart 13">
          <a:extLst>
            <a:ext uri="{FF2B5EF4-FFF2-40B4-BE49-F238E27FC236}">
              <a16:creationId xmlns:a16="http://schemas.microsoft.com/office/drawing/2014/main" id="{1E1632C6-5B8B-4BB5-B660-A964329DA7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24</xdr:row>
      <xdr:rowOff>140427</xdr:rowOff>
    </xdr:from>
    <xdr:to>
      <xdr:col>3</xdr:col>
      <xdr:colOff>0</xdr:colOff>
      <xdr:row>32</xdr:row>
      <xdr:rowOff>65315</xdr:rowOff>
    </xdr:to>
    <mc:AlternateContent xmlns:mc="http://schemas.openxmlformats.org/markup-compatibility/2006">
      <mc:Choice xmlns:a14="http://schemas.microsoft.com/office/drawing/2010/main" Requires="a14">
        <xdr:graphicFrame macro="">
          <xdr:nvGraphicFramePr>
            <xdr:cNvPr id="9" name="Suppliers">
              <a:extLst>
                <a:ext uri="{FF2B5EF4-FFF2-40B4-BE49-F238E27FC236}">
                  <a16:creationId xmlns:a16="http://schemas.microsoft.com/office/drawing/2014/main" id="{9ADE7206-10EB-4884-8633-7D45624070F9}"/>
                </a:ext>
              </a:extLst>
            </xdr:cNvPr>
            <xdr:cNvGraphicFramePr/>
          </xdr:nvGraphicFramePr>
          <xdr:xfrm>
            <a:off x="0" y="0"/>
            <a:ext cx="0" cy="0"/>
          </xdr:xfrm>
          <a:graphic>
            <a:graphicData uri="http://schemas.microsoft.com/office/drawing/2010/slicer">
              <sle:slicer xmlns:sle="http://schemas.microsoft.com/office/drawing/2010/slicer" name="Suppliers"/>
            </a:graphicData>
          </a:graphic>
        </xdr:graphicFrame>
      </mc:Choice>
      <mc:Fallback>
        <xdr:sp macro="" textlink="">
          <xdr:nvSpPr>
            <xdr:cNvPr id="0" name=""/>
            <xdr:cNvSpPr>
              <a:spLocks noTextEdit="1"/>
            </xdr:cNvSpPr>
          </xdr:nvSpPr>
          <xdr:spPr>
            <a:xfrm>
              <a:off x="0" y="4610827"/>
              <a:ext cx="1828800" cy="14150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140426</xdr:rowOff>
    </xdr:from>
    <xdr:to>
      <xdr:col>3</xdr:col>
      <xdr:colOff>0</xdr:colOff>
      <xdr:row>39</xdr:row>
      <xdr:rowOff>65313</xdr:rowOff>
    </xdr:to>
    <mc:AlternateContent xmlns:mc="http://schemas.openxmlformats.org/markup-compatibility/2006">
      <mc:Choice xmlns:a14="http://schemas.microsoft.com/office/drawing/2010/main" Requires="a14">
        <xdr:graphicFrame macro="">
          <xdr:nvGraphicFramePr>
            <xdr:cNvPr id="13" name="Expense Type">
              <a:extLst>
                <a:ext uri="{FF2B5EF4-FFF2-40B4-BE49-F238E27FC236}">
                  <a16:creationId xmlns:a16="http://schemas.microsoft.com/office/drawing/2014/main" id="{BEAB4CE0-C36A-44AF-8CE6-F95882AC627D}"/>
                </a:ext>
              </a:extLst>
            </xdr:cNvPr>
            <xdr:cNvGraphicFramePr/>
          </xdr:nvGraphicFramePr>
          <xdr:xfrm>
            <a:off x="0" y="0"/>
            <a:ext cx="0" cy="0"/>
          </xdr:xfrm>
          <a:graphic>
            <a:graphicData uri="http://schemas.microsoft.com/office/drawing/2010/slicer">
              <sle:slicer xmlns:sle="http://schemas.microsoft.com/office/drawing/2010/slicer" name="Expense Type"/>
            </a:graphicData>
          </a:graphic>
        </xdr:graphicFrame>
      </mc:Choice>
      <mc:Fallback>
        <xdr:sp macro="" textlink="">
          <xdr:nvSpPr>
            <xdr:cNvPr id="0" name=""/>
            <xdr:cNvSpPr>
              <a:spLocks noTextEdit="1"/>
            </xdr:cNvSpPr>
          </xdr:nvSpPr>
          <xdr:spPr>
            <a:xfrm>
              <a:off x="0" y="6100959"/>
              <a:ext cx="1828800" cy="12287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debuani Stanley" refreshedDate="46079.05766273148" createdVersion="6" refreshedVersion="6" minRefreshableVersion="3" recordCount="121" xr:uid="{00000000-000A-0000-FFFF-FFFF0C000000}">
  <cacheSource type="worksheet">
    <worksheetSource name="Table1_2"/>
  </cacheSource>
  <cacheFields count="9">
    <cacheField name="Department Family" numFmtId="0">
      <sharedItems/>
    </cacheField>
    <cacheField name="Entity" numFmtId="0">
      <sharedItems/>
    </cacheField>
    <cacheField name="Date" numFmtId="14">
      <sharedItems containsSemiMixedTypes="0" containsNonDate="0" containsDate="1" containsString="0" minDate="2023-10-01T00:00:00" maxDate="2023-10-27T00:00:00" count="10">
        <d v="2023-10-01T00:00:00"/>
        <d v="2023-10-25T00:00:00"/>
        <d v="2023-10-04T00:00:00"/>
        <d v="2023-10-11T00:00:00"/>
        <d v="2023-10-18T00:00:00"/>
        <d v="2023-10-24T00:00:00"/>
        <d v="2023-10-17T00:00:00"/>
        <d v="2023-10-19T00:00:00"/>
        <d v="2023-10-03T00:00:00"/>
        <d v="2023-10-26T00:00:00"/>
      </sharedItems>
    </cacheField>
    <cacheField name="Expense Type" numFmtId="0">
      <sharedItems count="44">
        <s v="Medical Equipment"/>
        <s v="Vehicles"/>
        <s v="Managed Service - Call Handler"/>
        <s v="Rent"/>
        <s v="Computer Software Maintenance"/>
        <s v="Buildings"/>
        <s v="Building Ppm"/>
        <s v="Protective Uniform Purchase"/>
        <s v="Driver Training"/>
        <s v="Consultancy Fees"/>
        <s v="Accident Repairs 3rd Party"/>
        <s v="Agency Professional Staff"/>
        <s v="External Training Services"/>
        <s v="Computer Hardware"/>
        <s v="Other Legal Advice"/>
        <s v="Interpretation Services"/>
        <s v="Computer Software"/>
        <s v="Gp Services"/>
        <s v="Employment Liability Claims"/>
        <s v="Data Network Rental"/>
        <s v="Electricity"/>
        <s v="Service Charges"/>
        <s v="Uniform"/>
        <s v="Building Maintenance"/>
        <s v="Airwave Managed Service"/>
        <s v="Private Ambulance Hire"/>
        <s v="Training Accommodation"/>
        <s v="Ambulance Equipment"/>
        <s v="Occupational Health Fees"/>
        <s v="Vehicle Recovery"/>
        <s v="Electrical Items"/>
        <s v="Managed Service - Adv Prac"/>
        <s v="Managed Service - Gps"/>
        <s v="Mobile Phone Calls"/>
        <s v="Course And Conference Fees"/>
        <s v="Network Equipment &amp; Services"/>
        <s v="Network &amp; Route &amp; Setup"/>
        <s v="Data Comms Maintenance"/>
        <s v="Professional Fees &amp; Services"/>
        <s v="Phone &amp; Fax Line Rental"/>
        <s v="Tail Lift Components/Tests"/>
        <s v="BP Control Account"/>
        <s v="Medical Gas"/>
        <s v="Ensign Insurance Pre-Payment"/>
      </sharedItems>
    </cacheField>
    <cacheField name="Expense Area" numFmtId="0">
      <sharedItems count="52">
        <s v="Medical Directorate Management"/>
        <s v="Capital"/>
        <s v="111 Nwl Operations"/>
        <s v="Hart West"/>
        <s v="Telephony Infra Mod To Cm8"/>
        <s v="Property Management"/>
        <s v="Hazardous Area Response Team"/>
        <s v="Dockside Education Centre"/>
        <s v="Bermondsey Estate - Unit 28"/>
        <s v="Clocktower Estates"/>
        <s v="Malden Workshop"/>
        <s v="Make Ready - Insource Costs"/>
        <s v="Im&amp;T Management"/>
        <s v="111 Iuc Central Cost"/>
        <s v="Rainham (Lsu) Estates"/>
        <s v="New Starter Ipads"/>
        <s v="Legal Services"/>
        <s v="111 Nel Operations"/>
        <s v="Microsoft Licenses"/>
        <s v="Category 2 Validation Team"/>
        <s v="P&amp;C Management"/>
        <s v="Networks"/>
        <s v="Newham Training"/>
        <s v="Brentside Park Training"/>
        <s v="Clinical Ed Administration"/>
        <s v="111 Sel Operations"/>
        <s v="Islington Estates"/>
        <s v="Eoc Transformation Project"/>
        <s v="Fixing The Basics - Make Ready"/>
        <s v="Major Events"/>
        <s v="Clinical Hub (Chub)"/>
        <s v="Ops Central - Private Amb"/>
        <s v="International Recruitment 2023-24"/>
        <s v="Supply &amp; Material Management"/>
        <s v="Healthy Workplace"/>
        <s v="Fleet Support Services"/>
        <s v="111 Nel Operations - Cas"/>
        <s v="111 Sel Operations - Cas"/>
        <s v="Telecommunications"/>
        <s v="Premises Cleaning Service"/>
        <s v="Uk Graduates"/>
        <s v="Bwh South London Iuc 111 Cas Replacement Premises"/>
        <s v="Data Centre Mod - Hq To Farnborough"/>
        <s v="Brent Unit 11 Falcon Park"/>
        <s v="Ambulance Evaluation"/>
        <s v="Brent Estates"/>
        <s v="Trust Management"/>
        <s v="Critical Care Transfer Service"/>
        <s v="Cody Road Estates"/>
        <s v="Im&amp;T Medicines Management"/>
        <s v="Balance Sheet"/>
        <s v="Director Of Ops"/>
      </sharedItems>
    </cacheField>
    <cacheField name="Suppliers" numFmtId="0">
      <sharedItems count="60">
        <s v="Philips Electronics Uk Limited"/>
        <s v="Halls Electrical Ltd"/>
        <s v="Practice Plus Group Urgent Care Limited"/>
        <s v="Amas Ltd/Common Receipts Account"/>
        <s v="Cleric Computer Services Ltd"/>
        <s v="Coniston Limited"/>
        <s v="Toureen Retail Ltd"/>
        <s v="Msa Bristol"/>
        <s v="Medicare Ems Group Uk Limited"/>
        <s v="Kendall Kingscott Ltd"/>
        <s v="R. And J.Motors Ltd"/>
        <s v="Build Recruitment Ltd"/>
        <s v="Pluralsight Llc"/>
        <s v="Herts Urgent Care"/>
        <s v="Segro Plc"/>
        <s v="Cdw Ltd"/>
        <s v="Dell Computer Corporation Ltd"/>
        <s v="Capsticks Solicitors Llp"/>
        <s v="Language Line"/>
        <s v="Boxxe"/>
        <s v="Logan Construction"/>
        <s v="Integrated Care Group Ltd"/>
        <s v="Bt Global Services"/>
        <s v="London Borough Of Newham"/>
        <s v="Emerson Management Services Limited"/>
        <s v="The Cooneen Group"/>
        <s v="Avison Young (Pma321)"/>
        <s v="City Of London"/>
        <s v="Orh Ltd"/>
        <s v="Airwave Solutions Limited"/>
        <s v="London Central And West Ucc"/>
        <s v="South East London Doctors Cooperative Ltd"/>
        <s v="Emfs Group Ltd"/>
        <s v="The Independents Hotel Reservations Ltd"/>
        <s v="Ferno (Uk)"/>
        <s v="Working On Wellbeing T/A Optima Health"/>
        <s v="The Mansfield Group"/>
        <s v="Spence Refit Ltd"/>
        <s v="Hays Specialist Recruitment Ltd"/>
        <s v="Daisy Corporate Services Trading Limited"/>
        <s v="Vodafone Corporate Limited"/>
        <s v="Creative Software Solutions (Europe) Ltd"/>
        <s v="Elite Advanced Driver Training Ltd"/>
        <s v="Bt Plc"/>
        <s v="Millbrook Proving Ground Ltd A Utac Company"/>
        <s v="Excelerate Technology Ltd"/>
        <s v="Britsh Telecom (Bt) Plc"/>
        <s v="Brs Jobs Ltd"/>
        <s v="Bt Teleworker"/>
        <s v="Wietmarscher Ambulanz- Und Sonderfahrzeug Gmb"/>
        <s v="Workman Llp"/>
        <s v="Transformation Nous Limited"/>
        <s v="Alfa Tail Lifts Ltd"/>
        <s v="Veho Solutions Ltd"/>
        <s v="Cbre Ltd"/>
        <s v="Tendable Limited"/>
        <s v="P S G Frieght Services"/>
        <s v="BP Oil"/>
        <s v="British Oxygen"/>
        <s v="QBE INSURANCE / EU"/>
      </sharedItems>
    </cacheField>
    <cacheField name="Transaction Number" numFmtId="0">
      <sharedItems containsSemiMixedTypes="0" containsString="0" containsNumber="1" containsInteger="1" minValue="109161" maxValue="745597" count="114">
        <n v="695464"/>
        <n v="708245"/>
        <n v="714511"/>
        <n v="717653"/>
        <n v="721483"/>
        <n v="723104"/>
        <n v="724770"/>
        <n v="725226"/>
        <n v="728829"/>
        <n v="729278"/>
        <n v="729732"/>
        <n v="732569"/>
        <n v="732977"/>
        <n v="733888"/>
        <n v="733889"/>
        <n v="733891"/>
        <n v="734013"/>
        <n v="734014"/>
        <n v="736196"/>
        <n v="736362"/>
        <n v="736363"/>
        <n v="736999"/>
        <n v="737515"/>
        <n v="737927"/>
        <n v="738336"/>
        <n v="738424"/>
        <n v="738484"/>
        <n v="738502"/>
        <n v="738525"/>
        <n v="738633"/>
        <n v="738638"/>
        <n v="738759"/>
        <n v="738784"/>
        <n v="739021"/>
        <n v="739026"/>
        <n v="739059"/>
        <n v="739081"/>
        <n v="739082"/>
        <n v="739106"/>
        <n v="739155"/>
        <n v="739236"/>
        <n v="739289"/>
        <n v="739381"/>
        <n v="739534"/>
        <n v="739659"/>
        <n v="739660"/>
        <n v="739851"/>
        <n v="739892"/>
        <n v="739893"/>
        <n v="739894"/>
        <n v="739903"/>
        <n v="739904"/>
        <n v="739996"/>
        <n v="740235"/>
        <n v="740253"/>
        <n v="740254"/>
        <n v="740289"/>
        <n v="740415"/>
        <n v="740416"/>
        <n v="740699"/>
        <n v="740975"/>
        <n v="741003"/>
        <n v="741410"/>
        <n v="741417"/>
        <n v="741444"/>
        <n v="741715"/>
        <n v="741716"/>
        <n v="741721"/>
        <n v="741722"/>
        <n v="741723"/>
        <n v="741751"/>
        <n v="741779"/>
        <n v="741803"/>
        <n v="742078"/>
        <n v="742170"/>
        <n v="742179"/>
        <n v="742297"/>
        <n v="742298"/>
        <n v="742300"/>
        <n v="742399"/>
        <n v="742449"/>
        <n v="742518"/>
        <n v="742538"/>
        <n v="742539"/>
        <n v="742540"/>
        <n v="742541"/>
        <n v="742542"/>
        <n v="742543"/>
        <n v="742544"/>
        <n v="742548"/>
        <n v="742573"/>
        <n v="742576"/>
        <n v="742577"/>
        <n v="742589"/>
        <n v="742590"/>
        <n v="742613"/>
        <n v="742631"/>
        <n v="742786"/>
        <n v="743326"/>
        <n v="743346"/>
        <n v="743347"/>
        <n v="743997"/>
        <n v="744052"/>
        <n v="744061"/>
        <n v="744565"/>
        <n v="744588"/>
        <n v="744635"/>
        <n v="744683"/>
        <n v="745063"/>
        <n v="745138"/>
        <n v="745597"/>
        <n v="109161"/>
        <n v="109358"/>
        <n v="109309"/>
      </sharedItems>
    </cacheField>
    <cacheField name=" Amount " numFmtId="0">
      <sharedItems containsSemiMixedTypes="0" containsString="0" containsNumber="1" minValue="-451545.59999999998" maxValue="1239214.71" count="115">
        <n v="385386.29"/>
        <n v="226242.14"/>
        <n v="85177.67"/>
        <n v="39447.599999999999"/>
        <n v="26400"/>
        <n v="75600"/>
        <n v="-85177.67"/>
        <n v="26970"/>
        <n v="51456.6"/>
        <n v="53610"/>
        <n v="129168.77"/>
        <n v="27792"/>
        <n v="82656"/>
        <n v="54000"/>
        <n v="-136656"/>
        <n v="-259598"/>
        <n v="-451545.59999999998"/>
        <n v="31870.799999999999"/>
        <n v="39244.800000000003"/>
        <n v="38625.599999999999"/>
        <n v="28405.200000000001"/>
        <n v="34875.879999999997"/>
        <n v="28443"/>
        <n v="1239214.71"/>
        <n v="145198.79999999999"/>
        <n v="42382.080000000002"/>
        <n v="47280"/>
        <n v="25172.400000000001"/>
        <n v="29202.73"/>
        <n v="776834.21"/>
        <n v="101641.31"/>
        <n v="37691.06"/>
        <n v="87513.85"/>
        <n v="31808.35"/>
        <n v="121034.76"/>
        <n v="137498.4"/>
        <n v="78804"/>
        <n v="50996.4"/>
        <n v="42632.81"/>
        <n v="73590.3"/>
        <n v="27092.400000000001"/>
        <n v="82500"/>
        <n v="25200"/>
        <n v="120000"/>
        <n v="50552.4"/>
        <n v="214807"/>
        <n v="280050"/>
        <n v="151568.9"/>
        <n v="39224.82"/>
        <n v="35796.769999999997"/>
        <n v="39389.46"/>
        <n v="54945"/>
        <n v="42000"/>
        <n v="36618"/>
        <n v="84172.95"/>
        <n v="26025.5"/>
        <n v="41964.59"/>
        <n v="57210"/>
        <n v="-385386.29"/>
        <n v="486558.88"/>
        <n v="110482.86"/>
        <n v="195843.48"/>
        <n v="319632.90999999997"/>
        <n v="309428.03000000003"/>
        <n v="34848.01"/>
        <n v="57683.21"/>
        <n v="31080"/>
        <n v="53100"/>
        <n v="272297.65999999997"/>
        <n v="92926.93"/>
        <n v="85364.25"/>
        <n v="75014.55"/>
        <n v="26672.13"/>
        <n v="208327.96"/>
        <n v="47495.01"/>
        <n v="277776.08"/>
        <n v="60909.66"/>
        <n v="31644"/>
        <n v="29120.400000000001"/>
        <n v="110244"/>
        <n v="59100"/>
        <n v="98171.27"/>
        <n v="160558.74"/>
        <n v="310314.19"/>
        <n v="150289.34"/>
        <n v="25665.83"/>
        <n v="69720.960000000006"/>
        <n v="25193.5"/>
        <n v="28215.88"/>
        <n v="29223.34"/>
        <n v="30230.799999999999"/>
        <n v="27208.42"/>
        <n v="36225"/>
        <n v="217976"/>
        <n v="567418.80000000005"/>
        <n v="48508.2"/>
        <n v="52694.86"/>
        <n v="163380"/>
        <n v="25821.05"/>
        <n v="48531.72"/>
        <n v="30377.439999999999"/>
        <n v="34425.279999999999"/>
        <n v="134178"/>
        <n v="37164.03"/>
        <n v="37697.480000000003"/>
        <n v="37182"/>
        <n v="35254.480000000003"/>
        <n v="-75600"/>
        <n v="32254.48"/>
        <n v="-32254.48"/>
        <n v="511409.96"/>
        <n v="-28443"/>
        <n v="446608.59"/>
        <n v="141696.95000000001"/>
        <n v="240843.99"/>
      </sharedItems>
    </cacheField>
    <cacheField name="Transaction_type" numFmtId="0">
      <sharedItems count="2">
        <s v="Expenses"/>
        <s v="Refund/ Adjustment"/>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s v="DOH"/>
    <s v="London Ambulance Service NHS Trust"/>
    <x v="0"/>
    <x v="0"/>
    <x v="0"/>
    <x v="0"/>
    <x v="0"/>
    <x v="0"/>
    <x v="0"/>
  </r>
  <r>
    <s v="DOH"/>
    <s v="London Ambulance Service NHS Trust"/>
    <x v="0"/>
    <x v="0"/>
    <x v="0"/>
    <x v="0"/>
    <x v="1"/>
    <x v="0"/>
    <x v="0"/>
  </r>
  <r>
    <s v="DOH"/>
    <s v="London Ambulance Service NHS Trust"/>
    <x v="0"/>
    <x v="1"/>
    <x v="1"/>
    <x v="1"/>
    <x v="2"/>
    <x v="1"/>
    <x v="0"/>
  </r>
  <r>
    <s v="DOH"/>
    <s v="London Ambulance Service NHS Trust"/>
    <x v="1"/>
    <x v="2"/>
    <x v="2"/>
    <x v="2"/>
    <x v="3"/>
    <x v="2"/>
    <x v="0"/>
  </r>
  <r>
    <s v="DOH"/>
    <s v="London Ambulance Service NHS Trust"/>
    <x v="0"/>
    <x v="3"/>
    <x v="3"/>
    <x v="3"/>
    <x v="4"/>
    <x v="3"/>
    <x v="0"/>
  </r>
  <r>
    <s v="DOH"/>
    <s v="London Ambulance Service NHS Trust"/>
    <x v="0"/>
    <x v="4"/>
    <x v="4"/>
    <x v="4"/>
    <x v="5"/>
    <x v="4"/>
    <x v="0"/>
  </r>
  <r>
    <s v="DOH"/>
    <s v="London Ambulance Service NHS Trust"/>
    <x v="1"/>
    <x v="5"/>
    <x v="1"/>
    <x v="5"/>
    <x v="6"/>
    <x v="5"/>
    <x v="0"/>
  </r>
  <r>
    <s v="DOH"/>
    <s v="London Ambulance Service NHS Trust"/>
    <x v="1"/>
    <x v="2"/>
    <x v="2"/>
    <x v="2"/>
    <x v="7"/>
    <x v="6"/>
    <x v="1"/>
  </r>
  <r>
    <s v="DOH"/>
    <s v="London Ambulance Service NHS Trust"/>
    <x v="2"/>
    <x v="6"/>
    <x v="5"/>
    <x v="6"/>
    <x v="8"/>
    <x v="7"/>
    <x v="0"/>
  </r>
  <r>
    <s v="DOH"/>
    <s v="London Ambulance Service NHS Trust"/>
    <x v="0"/>
    <x v="7"/>
    <x v="6"/>
    <x v="7"/>
    <x v="9"/>
    <x v="8"/>
    <x v="0"/>
  </r>
  <r>
    <s v="DOH"/>
    <s v="London Ambulance Service NHS Trust"/>
    <x v="1"/>
    <x v="5"/>
    <x v="1"/>
    <x v="5"/>
    <x v="10"/>
    <x v="9"/>
    <x v="0"/>
  </r>
  <r>
    <s v="DOH"/>
    <s v="London Ambulance Service NHS Trust"/>
    <x v="1"/>
    <x v="5"/>
    <x v="1"/>
    <x v="5"/>
    <x v="11"/>
    <x v="10"/>
    <x v="0"/>
  </r>
  <r>
    <s v="DOH"/>
    <s v="London Ambulance Service NHS Trust"/>
    <x v="2"/>
    <x v="8"/>
    <x v="7"/>
    <x v="8"/>
    <x v="12"/>
    <x v="11"/>
    <x v="0"/>
  </r>
  <r>
    <s v="DOH"/>
    <s v="London Ambulance Service NHS Trust"/>
    <x v="3"/>
    <x v="9"/>
    <x v="5"/>
    <x v="9"/>
    <x v="13"/>
    <x v="12"/>
    <x v="0"/>
  </r>
  <r>
    <s v="DOH"/>
    <s v="London Ambulance Service NHS Trust"/>
    <x v="3"/>
    <x v="9"/>
    <x v="5"/>
    <x v="9"/>
    <x v="14"/>
    <x v="13"/>
    <x v="0"/>
  </r>
  <r>
    <s v="DOH"/>
    <s v="London Ambulance Service NHS Trust"/>
    <x v="3"/>
    <x v="9"/>
    <x v="5"/>
    <x v="9"/>
    <x v="15"/>
    <x v="14"/>
    <x v="1"/>
  </r>
  <r>
    <s v="DOH"/>
    <s v="London Ambulance Service NHS Trust"/>
    <x v="1"/>
    <x v="2"/>
    <x v="2"/>
    <x v="2"/>
    <x v="16"/>
    <x v="15"/>
    <x v="1"/>
  </r>
  <r>
    <s v="DOH"/>
    <s v="London Ambulance Service NHS Trust"/>
    <x v="1"/>
    <x v="2"/>
    <x v="2"/>
    <x v="2"/>
    <x v="17"/>
    <x v="16"/>
    <x v="1"/>
  </r>
  <r>
    <s v="DOH"/>
    <s v="London Ambulance Service NHS Trust"/>
    <x v="2"/>
    <x v="3"/>
    <x v="8"/>
    <x v="3"/>
    <x v="18"/>
    <x v="17"/>
    <x v="0"/>
  </r>
  <r>
    <s v="DOH"/>
    <s v="London Ambulance Service NHS Trust"/>
    <x v="2"/>
    <x v="3"/>
    <x v="9"/>
    <x v="3"/>
    <x v="19"/>
    <x v="18"/>
    <x v="0"/>
  </r>
  <r>
    <s v="DOH"/>
    <s v="London Ambulance Service NHS Trust"/>
    <x v="1"/>
    <x v="3"/>
    <x v="3"/>
    <x v="3"/>
    <x v="20"/>
    <x v="19"/>
    <x v="0"/>
  </r>
  <r>
    <s v="DOH"/>
    <s v="London Ambulance Service NHS Trust"/>
    <x v="2"/>
    <x v="10"/>
    <x v="10"/>
    <x v="10"/>
    <x v="21"/>
    <x v="20"/>
    <x v="0"/>
  </r>
  <r>
    <s v="DOH"/>
    <s v="London Ambulance Service NHS Trust"/>
    <x v="4"/>
    <x v="11"/>
    <x v="11"/>
    <x v="11"/>
    <x v="22"/>
    <x v="21"/>
    <x v="0"/>
  </r>
  <r>
    <s v="DOH"/>
    <s v="London Ambulance Service NHS Trust"/>
    <x v="5"/>
    <x v="12"/>
    <x v="12"/>
    <x v="12"/>
    <x v="23"/>
    <x v="22"/>
    <x v="0"/>
  </r>
  <r>
    <s v="DOH"/>
    <s v="London Ambulance Service NHS Trust"/>
    <x v="3"/>
    <x v="2"/>
    <x v="13"/>
    <x v="13"/>
    <x v="24"/>
    <x v="23"/>
    <x v="0"/>
  </r>
  <r>
    <s v="DOH"/>
    <s v="London Ambulance Service NHS Trust"/>
    <x v="4"/>
    <x v="3"/>
    <x v="14"/>
    <x v="14"/>
    <x v="25"/>
    <x v="24"/>
    <x v="0"/>
  </r>
  <r>
    <s v="DOH"/>
    <s v="London Ambulance Service NHS Trust"/>
    <x v="0"/>
    <x v="13"/>
    <x v="15"/>
    <x v="15"/>
    <x v="26"/>
    <x v="25"/>
    <x v="0"/>
  </r>
  <r>
    <s v="DOH"/>
    <s v="London Ambulance Service NHS Trust"/>
    <x v="0"/>
    <x v="13"/>
    <x v="1"/>
    <x v="16"/>
    <x v="27"/>
    <x v="26"/>
    <x v="0"/>
  </r>
  <r>
    <s v="DOH"/>
    <s v="London Ambulance Service NHS Trust"/>
    <x v="2"/>
    <x v="14"/>
    <x v="16"/>
    <x v="17"/>
    <x v="28"/>
    <x v="27"/>
    <x v="0"/>
  </r>
  <r>
    <s v="DOH"/>
    <s v="London Ambulance Service NHS Trust"/>
    <x v="1"/>
    <x v="15"/>
    <x v="17"/>
    <x v="18"/>
    <x v="29"/>
    <x v="28"/>
    <x v="0"/>
  </r>
  <r>
    <s v="DOH"/>
    <s v="London Ambulance Service NHS Trust"/>
    <x v="2"/>
    <x v="16"/>
    <x v="18"/>
    <x v="19"/>
    <x v="30"/>
    <x v="29"/>
    <x v="0"/>
  </r>
  <r>
    <s v="DOH"/>
    <s v="London Ambulance Service NHS Trust"/>
    <x v="1"/>
    <x v="5"/>
    <x v="1"/>
    <x v="20"/>
    <x v="31"/>
    <x v="30"/>
    <x v="0"/>
  </r>
  <r>
    <s v="DOH"/>
    <s v="London Ambulance Service NHS Trust"/>
    <x v="2"/>
    <x v="17"/>
    <x v="19"/>
    <x v="21"/>
    <x v="32"/>
    <x v="31"/>
    <x v="0"/>
  </r>
  <r>
    <s v="DOH"/>
    <s v="London Ambulance Service NHS Trust"/>
    <x v="2"/>
    <x v="18"/>
    <x v="20"/>
    <x v="17"/>
    <x v="33"/>
    <x v="32"/>
    <x v="0"/>
  </r>
  <r>
    <s v="DOH"/>
    <s v="London Ambulance Service NHS Trust"/>
    <x v="2"/>
    <x v="19"/>
    <x v="21"/>
    <x v="22"/>
    <x v="34"/>
    <x v="33"/>
    <x v="0"/>
  </r>
  <r>
    <s v="DOH"/>
    <s v="London Ambulance Service NHS Trust"/>
    <x v="1"/>
    <x v="20"/>
    <x v="22"/>
    <x v="23"/>
    <x v="35"/>
    <x v="34"/>
    <x v="0"/>
  </r>
  <r>
    <s v="DOH"/>
    <s v="London Ambulance Service NHS Trust"/>
    <x v="6"/>
    <x v="3"/>
    <x v="23"/>
    <x v="24"/>
    <x v="36"/>
    <x v="35"/>
    <x v="0"/>
  </r>
  <r>
    <s v="DOH"/>
    <s v="London Ambulance Service NHS Trust"/>
    <x v="6"/>
    <x v="21"/>
    <x v="23"/>
    <x v="24"/>
    <x v="36"/>
    <x v="36"/>
    <x v="0"/>
  </r>
  <r>
    <s v="DOH"/>
    <s v="London Ambulance Service NHS Trust"/>
    <x v="4"/>
    <x v="3"/>
    <x v="23"/>
    <x v="24"/>
    <x v="37"/>
    <x v="37"/>
    <x v="0"/>
  </r>
  <r>
    <s v="DOH"/>
    <s v="London Ambulance Service NHS Trust"/>
    <x v="2"/>
    <x v="22"/>
    <x v="24"/>
    <x v="25"/>
    <x v="38"/>
    <x v="38"/>
    <x v="0"/>
  </r>
  <r>
    <s v="DOH"/>
    <s v="London Ambulance Service NHS Trust"/>
    <x v="1"/>
    <x v="3"/>
    <x v="25"/>
    <x v="26"/>
    <x v="39"/>
    <x v="39"/>
    <x v="0"/>
  </r>
  <r>
    <s v="DOH"/>
    <s v="London Ambulance Service NHS Trust"/>
    <x v="1"/>
    <x v="21"/>
    <x v="25"/>
    <x v="26"/>
    <x v="39"/>
    <x v="40"/>
    <x v="0"/>
  </r>
  <r>
    <s v="DOH"/>
    <s v="London Ambulance Service NHS Trust"/>
    <x v="4"/>
    <x v="3"/>
    <x v="26"/>
    <x v="27"/>
    <x v="40"/>
    <x v="41"/>
    <x v="0"/>
  </r>
  <r>
    <s v="DOH"/>
    <s v="London Ambulance Service NHS Trust"/>
    <x v="4"/>
    <x v="9"/>
    <x v="27"/>
    <x v="28"/>
    <x v="41"/>
    <x v="42"/>
    <x v="0"/>
  </r>
  <r>
    <s v="DOH"/>
    <s v="London Ambulance Service NHS Trust"/>
    <x v="2"/>
    <x v="23"/>
    <x v="28"/>
    <x v="5"/>
    <x v="42"/>
    <x v="43"/>
    <x v="0"/>
  </r>
  <r>
    <s v="DOH"/>
    <s v="London Ambulance Service NHS Trust"/>
    <x v="2"/>
    <x v="24"/>
    <x v="29"/>
    <x v="29"/>
    <x v="43"/>
    <x v="44"/>
    <x v="0"/>
  </r>
  <r>
    <s v="DOH"/>
    <s v="London Ambulance Service NHS Trust"/>
    <x v="2"/>
    <x v="2"/>
    <x v="2"/>
    <x v="30"/>
    <x v="44"/>
    <x v="45"/>
    <x v="0"/>
  </r>
  <r>
    <s v="DOH"/>
    <s v="London Ambulance Service NHS Trust"/>
    <x v="2"/>
    <x v="2"/>
    <x v="2"/>
    <x v="30"/>
    <x v="45"/>
    <x v="46"/>
    <x v="0"/>
  </r>
  <r>
    <s v="DOH"/>
    <s v="London Ambulance Service NHS Trust"/>
    <x v="0"/>
    <x v="17"/>
    <x v="30"/>
    <x v="31"/>
    <x v="46"/>
    <x v="47"/>
    <x v="0"/>
  </r>
  <r>
    <s v="DOH"/>
    <s v="London Ambulance Service NHS Trust"/>
    <x v="0"/>
    <x v="25"/>
    <x v="31"/>
    <x v="32"/>
    <x v="47"/>
    <x v="48"/>
    <x v="0"/>
  </r>
  <r>
    <s v="DOH"/>
    <s v="London Ambulance Service NHS Trust"/>
    <x v="0"/>
    <x v="25"/>
    <x v="31"/>
    <x v="32"/>
    <x v="48"/>
    <x v="49"/>
    <x v="0"/>
  </r>
  <r>
    <s v="DOH"/>
    <s v="London Ambulance Service NHS Trust"/>
    <x v="2"/>
    <x v="25"/>
    <x v="31"/>
    <x v="32"/>
    <x v="49"/>
    <x v="50"/>
    <x v="0"/>
  </r>
  <r>
    <s v="DOH"/>
    <s v="London Ambulance Service NHS Trust"/>
    <x v="0"/>
    <x v="26"/>
    <x v="32"/>
    <x v="33"/>
    <x v="50"/>
    <x v="51"/>
    <x v="0"/>
  </r>
  <r>
    <s v="DOH"/>
    <s v="London Ambulance Service NHS Trust"/>
    <x v="0"/>
    <x v="26"/>
    <x v="32"/>
    <x v="33"/>
    <x v="51"/>
    <x v="52"/>
    <x v="0"/>
  </r>
  <r>
    <s v="DOH"/>
    <s v="London Ambulance Service NHS Trust"/>
    <x v="3"/>
    <x v="27"/>
    <x v="33"/>
    <x v="34"/>
    <x v="52"/>
    <x v="53"/>
    <x v="0"/>
  </r>
  <r>
    <s v="DOH"/>
    <s v="London Ambulance Service NHS Trust"/>
    <x v="3"/>
    <x v="28"/>
    <x v="34"/>
    <x v="35"/>
    <x v="53"/>
    <x v="54"/>
    <x v="0"/>
  </r>
  <r>
    <s v="DOH"/>
    <s v="London Ambulance Service NHS Trust"/>
    <x v="3"/>
    <x v="29"/>
    <x v="35"/>
    <x v="36"/>
    <x v="54"/>
    <x v="55"/>
    <x v="0"/>
  </r>
  <r>
    <s v="DOH"/>
    <s v="London Ambulance Service NHS Trust"/>
    <x v="3"/>
    <x v="29"/>
    <x v="35"/>
    <x v="36"/>
    <x v="55"/>
    <x v="56"/>
    <x v="0"/>
  </r>
  <r>
    <s v="DOH"/>
    <s v="London Ambulance Service NHS Trust"/>
    <x v="0"/>
    <x v="30"/>
    <x v="1"/>
    <x v="37"/>
    <x v="56"/>
    <x v="57"/>
    <x v="0"/>
  </r>
  <r>
    <s v="DOH"/>
    <s v="London Ambulance Service NHS Trust"/>
    <x v="0"/>
    <x v="0"/>
    <x v="0"/>
    <x v="0"/>
    <x v="57"/>
    <x v="58"/>
    <x v="1"/>
  </r>
  <r>
    <s v="DOH"/>
    <s v="London Ambulance Service NHS Trust"/>
    <x v="0"/>
    <x v="0"/>
    <x v="0"/>
    <x v="0"/>
    <x v="58"/>
    <x v="58"/>
    <x v="1"/>
  </r>
  <r>
    <s v="DOH"/>
    <s v="London Ambulance Service NHS Trust"/>
    <x v="2"/>
    <x v="31"/>
    <x v="36"/>
    <x v="38"/>
    <x v="59"/>
    <x v="59"/>
    <x v="0"/>
  </r>
  <r>
    <s v="DOH"/>
    <s v="London Ambulance Service NHS Trust"/>
    <x v="2"/>
    <x v="31"/>
    <x v="37"/>
    <x v="38"/>
    <x v="59"/>
    <x v="60"/>
    <x v="0"/>
  </r>
  <r>
    <s v="DOH"/>
    <s v="London Ambulance Service NHS Trust"/>
    <x v="2"/>
    <x v="32"/>
    <x v="36"/>
    <x v="38"/>
    <x v="59"/>
    <x v="61"/>
    <x v="0"/>
  </r>
  <r>
    <s v="DOH"/>
    <s v="London Ambulance Service NHS Trust"/>
    <x v="2"/>
    <x v="32"/>
    <x v="37"/>
    <x v="38"/>
    <x v="59"/>
    <x v="62"/>
    <x v="0"/>
  </r>
  <r>
    <s v="DOH"/>
    <s v="London Ambulance Service NHS Trust"/>
    <x v="4"/>
    <x v="2"/>
    <x v="13"/>
    <x v="13"/>
    <x v="60"/>
    <x v="63"/>
    <x v="0"/>
  </r>
  <r>
    <s v="DOH"/>
    <s v="London Ambulance Service NHS Trust"/>
    <x v="3"/>
    <x v="19"/>
    <x v="21"/>
    <x v="39"/>
    <x v="61"/>
    <x v="64"/>
    <x v="0"/>
  </r>
  <r>
    <s v="DOH"/>
    <s v="London Ambulance Service NHS Trust"/>
    <x v="4"/>
    <x v="33"/>
    <x v="38"/>
    <x v="40"/>
    <x v="62"/>
    <x v="65"/>
    <x v="0"/>
  </r>
  <r>
    <s v="DOH"/>
    <s v="London Ambulance Service NHS Trust"/>
    <x v="1"/>
    <x v="16"/>
    <x v="39"/>
    <x v="41"/>
    <x v="63"/>
    <x v="66"/>
    <x v="0"/>
  </r>
  <r>
    <s v="DOH"/>
    <s v="London Ambulance Service NHS Trust"/>
    <x v="3"/>
    <x v="34"/>
    <x v="40"/>
    <x v="42"/>
    <x v="64"/>
    <x v="67"/>
    <x v="0"/>
  </r>
  <r>
    <s v="DOH"/>
    <s v="London Ambulance Service NHS Trust"/>
    <x v="1"/>
    <x v="13"/>
    <x v="1"/>
    <x v="43"/>
    <x v="65"/>
    <x v="68"/>
    <x v="0"/>
  </r>
  <r>
    <s v="DOH"/>
    <s v="London Ambulance Service NHS Trust"/>
    <x v="1"/>
    <x v="4"/>
    <x v="41"/>
    <x v="43"/>
    <x v="65"/>
    <x v="69"/>
    <x v="0"/>
  </r>
  <r>
    <s v="DOH"/>
    <s v="London Ambulance Service NHS Trust"/>
    <x v="1"/>
    <x v="35"/>
    <x v="1"/>
    <x v="43"/>
    <x v="66"/>
    <x v="70"/>
    <x v="0"/>
  </r>
  <r>
    <s v="DOH"/>
    <s v="London Ambulance Service NHS Trust"/>
    <x v="1"/>
    <x v="35"/>
    <x v="1"/>
    <x v="43"/>
    <x v="67"/>
    <x v="71"/>
    <x v="0"/>
  </r>
  <r>
    <s v="DOH"/>
    <s v="London Ambulance Service NHS Trust"/>
    <x v="1"/>
    <x v="36"/>
    <x v="42"/>
    <x v="43"/>
    <x v="67"/>
    <x v="72"/>
    <x v="0"/>
  </r>
  <r>
    <s v="DOH"/>
    <s v="London Ambulance Service NHS Trust"/>
    <x v="1"/>
    <x v="37"/>
    <x v="21"/>
    <x v="43"/>
    <x v="68"/>
    <x v="73"/>
    <x v="0"/>
  </r>
  <r>
    <s v="DOH"/>
    <s v="London Ambulance Service NHS Trust"/>
    <x v="1"/>
    <x v="35"/>
    <x v="43"/>
    <x v="43"/>
    <x v="69"/>
    <x v="74"/>
    <x v="0"/>
  </r>
  <r>
    <s v="DOH"/>
    <s v="London Ambulance Service NHS Trust"/>
    <x v="1"/>
    <x v="36"/>
    <x v="21"/>
    <x v="43"/>
    <x v="70"/>
    <x v="75"/>
    <x v="0"/>
  </r>
  <r>
    <s v="DOH"/>
    <s v="London Ambulance Service NHS Trust"/>
    <x v="1"/>
    <x v="4"/>
    <x v="17"/>
    <x v="39"/>
    <x v="71"/>
    <x v="76"/>
    <x v="0"/>
  </r>
  <r>
    <s v="DOH"/>
    <s v="London Ambulance Service NHS Trust"/>
    <x v="1"/>
    <x v="38"/>
    <x v="44"/>
    <x v="44"/>
    <x v="72"/>
    <x v="77"/>
    <x v="0"/>
  </r>
  <r>
    <s v="DOH"/>
    <s v="London Ambulance Service NHS Trust"/>
    <x v="2"/>
    <x v="14"/>
    <x v="16"/>
    <x v="17"/>
    <x v="73"/>
    <x v="78"/>
    <x v="0"/>
  </r>
  <r>
    <s v="DOH"/>
    <s v="London Ambulance Service NHS Trust"/>
    <x v="1"/>
    <x v="37"/>
    <x v="6"/>
    <x v="45"/>
    <x v="74"/>
    <x v="79"/>
    <x v="0"/>
  </r>
  <r>
    <s v="DOH"/>
    <s v="London Ambulance Service NHS Trust"/>
    <x v="1"/>
    <x v="13"/>
    <x v="1"/>
    <x v="16"/>
    <x v="75"/>
    <x v="80"/>
    <x v="0"/>
  </r>
  <r>
    <s v="DOH"/>
    <s v="London Ambulance Service NHS Trust"/>
    <x v="3"/>
    <x v="5"/>
    <x v="1"/>
    <x v="37"/>
    <x v="76"/>
    <x v="81"/>
    <x v="0"/>
  </r>
  <r>
    <s v="DOH"/>
    <s v="London Ambulance Service NHS Trust"/>
    <x v="3"/>
    <x v="30"/>
    <x v="1"/>
    <x v="37"/>
    <x v="77"/>
    <x v="82"/>
    <x v="0"/>
  </r>
  <r>
    <s v="DOH"/>
    <s v="London Ambulance Service NHS Trust"/>
    <x v="3"/>
    <x v="30"/>
    <x v="1"/>
    <x v="37"/>
    <x v="78"/>
    <x v="83"/>
    <x v="0"/>
  </r>
  <r>
    <s v="DOH"/>
    <s v="London Ambulance Service NHS Trust"/>
    <x v="1"/>
    <x v="39"/>
    <x v="21"/>
    <x v="46"/>
    <x v="79"/>
    <x v="84"/>
    <x v="0"/>
  </r>
  <r>
    <s v="DOH"/>
    <s v="London Ambulance Service NHS Trust"/>
    <x v="4"/>
    <x v="38"/>
    <x v="35"/>
    <x v="47"/>
    <x v="80"/>
    <x v="85"/>
    <x v="0"/>
  </r>
  <r>
    <s v="DOH"/>
    <s v="London Ambulance Service NHS Trust"/>
    <x v="4"/>
    <x v="39"/>
    <x v="21"/>
    <x v="48"/>
    <x v="81"/>
    <x v="86"/>
    <x v="0"/>
  </r>
  <r>
    <s v="DOH"/>
    <s v="London Ambulance Service NHS Trust"/>
    <x v="5"/>
    <x v="1"/>
    <x v="1"/>
    <x v="49"/>
    <x v="82"/>
    <x v="87"/>
    <x v="0"/>
  </r>
  <r>
    <s v="DOH"/>
    <s v="London Ambulance Service NHS Trust"/>
    <x v="5"/>
    <x v="1"/>
    <x v="1"/>
    <x v="49"/>
    <x v="83"/>
    <x v="87"/>
    <x v="0"/>
  </r>
  <r>
    <s v="DOH"/>
    <s v="London Ambulance Service NHS Trust"/>
    <x v="5"/>
    <x v="1"/>
    <x v="1"/>
    <x v="49"/>
    <x v="84"/>
    <x v="88"/>
    <x v="0"/>
  </r>
  <r>
    <s v="DOH"/>
    <s v="London Ambulance Service NHS Trust"/>
    <x v="5"/>
    <x v="1"/>
    <x v="1"/>
    <x v="49"/>
    <x v="85"/>
    <x v="88"/>
    <x v="0"/>
  </r>
  <r>
    <s v="DOH"/>
    <s v="London Ambulance Service NHS Trust"/>
    <x v="5"/>
    <x v="1"/>
    <x v="1"/>
    <x v="49"/>
    <x v="86"/>
    <x v="89"/>
    <x v="0"/>
  </r>
  <r>
    <s v="DOH"/>
    <s v="London Ambulance Service NHS Trust"/>
    <x v="5"/>
    <x v="1"/>
    <x v="1"/>
    <x v="49"/>
    <x v="87"/>
    <x v="90"/>
    <x v="0"/>
  </r>
  <r>
    <s v="DOH"/>
    <s v="London Ambulance Service NHS Trust"/>
    <x v="5"/>
    <x v="1"/>
    <x v="1"/>
    <x v="49"/>
    <x v="88"/>
    <x v="90"/>
    <x v="0"/>
  </r>
  <r>
    <s v="DOH"/>
    <s v="London Ambulance Service NHS Trust"/>
    <x v="5"/>
    <x v="1"/>
    <x v="1"/>
    <x v="49"/>
    <x v="89"/>
    <x v="91"/>
    <x v="0"/>
  </r>
  <r>
    <s v="DOH"/>
    <s v="London Ambulance Service NHS Trust"/>
    <x v="3"/>
    <x v="3"/>
    <x v="45"/>
    <x v="50"/>
    <x v="90"/>
    <x v="92"/>
    <x v="0"/>
  </r>
  <r>
    <s v="DOH"/>
    <s v="London Ambulance Service NHS Trust"/>
    <x v="1"/>
    <x v="2"/>
    <x v="2"/>
    <x v="2"/>
    <x v="91"/>
    <x v="93"/>
    <x v="0"/>
  </r>
  <r>
    <s v="DOH"/>
    <s v="London Ambulance Service NHS Trust"/>
    <x v="1"/>
    <x v="2"/>
    <x v="2"/>
    <x v="2"/>
    <x v="92"/>
    <x v="94"/>
    <x v="0"/>
  </r>
  <r>
    <s v="DOH"/>
    <s v="London Ambulance Service NHS Trust"/>
    <x v="3"/>
    <x v="3"/>
    <x v="45"/>
    <x v="50"/>
    <x v="93"/>
    <x v="95"/>
    <x v="0"/>
  </r>
  <r>
    <s v="DOH"/>
    <s v="London Ambulance Service NHS Trust"/>
    <x v="4"/>
    <x v="3"/>
    <x v="43"/>
    <x v="50"/>
    <x v="94"/>
    <x v="96"/>
    <x v="0"/>
  </r>
  <r>
    <s v="DOH"/>
    <s v="London Ambulance Service NHS Trust"/>
    <x v="5"/>
    <x v="1"/>
    <x v="1"/>
    <x v="49"/>
    <x v="95"/>
    <x v="91"/>
    <x v="0"/>
  </r>
  <r>
    <s v="DOH"/>
    <s v="London Ambulance Service NHS Trust"/>
    <x v="1"/>
    <x v="38"/>
    <x v="46"/>
    <x v="51"/>
    <x v="96"/>
    <x v="97"/>
    <x v="0"/>
  </r>
  <r>
    <s v="DOH"/>
    <s v="London Ambulance Service NHS Trust"/>
    <x v="3"/>
    <x v="40"/>
    <x v="35"/>
    <x v="52"/>
    <x v="97"/>
    <x v="98"/>
    <x v="0"/>
  </r>
  <r>
    <s v="DOH"/>
    <s v="London Ambulance Service NHS Trust"/>
    <x v="3"/>
    <x v="25"/>
    <x v="47"/>
    <x v="53"/>
    <x v="98"/>
    <x v="99"/>
    <x v="0"/>
  </r>
  <r>
    <s v="DOH"/>
    <s v="London Ambulance Service NHS Trust"/>
    <x v="4"/>
    <x v="25"/>
    <x v="31"/>
    <x v="32"/>
    <x v="99"/>
    <x v="100"/>
    <x v="0"/>
  </r>
  <r>
    <s v="DOH"/>
    <s v="London Ambulance Service NHS Trust"/>
    <x v="4"/>
    <x v="25"/>
    <x v="31"/>
    <x v="32"/>
    <x v="100"/>
    <x v="101"/>
    <x v="0"/>
  </r>
  <r>
    <s v="DOH"/>
    <s v="London Ambulance Service NHS Trust"/>
    <x v="1"/>
    <x v="3"/>
    <x v="48"/>
    <x v="54"/>
    <x v="101"/>
    <x v="102"/>
    <x v="0"/>
  </r>
  <r>
    <s v="DOH"/>
    <s v="London Ambulance Service NHS Trust"/>
    <x v="1"/>
    <x v="25"/>
    <x v="31"/>
    <x v="32"/>
    <x v="102"/>
    <x v="103"/>
    <x v="0"/>
  </r>
  <r>
    <s v="DOH"/>
    <s v="London Ambulance Service NHS Trust"/>
    <x v="1"/>
    <x v="25"/>
    <x v="31"/>
    <x v="32"/>
    <x v="103"/>
    <x v="104"/>
    <x v="0"/>
  </r>
  <r>
    <s v="DOH"/>
    <s v="London Ambulance Service NHS Trust"/>
    <x v="1"/>
    <x v="4"/>
    <x v="49"/>
    <x v="55"/>
    <x v="104"/>
    <x v="105"/>
    <x v="0"/>
  </r>
  <r>
    <s v="DOH"/>
    <s v="London Ambulance Service NHS Trust"/>
    <x v="1"/>
    <x v="1"/>
    <x v="1"/>
    <x v="56"/>
    <x v="105"/>
    <x v="106"/>
    <x v="0"/>
  </r>
  <r>
    <s v="DOH"/>
    <s v="London Ambulance Service NHS Trust"/>
    <x v="1"/>
    <x v="5"/>
    <x v="1"/>
    <x v="5"/>
    <x v="106"/>
    <x v="107"/>
    <x v="1"/>
  </r>
  <r>
    <s v="DOH"/>
    <s v="London Ambulance Service NHS Trust"/>
    <x v="7"/>
    <x v="1"/>
    <x v="1"/>
    <x v="56"/>
    <x v="107"/>
    <x v="108"/>
    <x v="0"/>
  </r>
  <r>
    <s v="DOH"/>
    <s v="London Ambulance Service NHS Trust"/>
    <x v="7"/>
    <x v="1"/>
    <x v="1"/>
    <x v="56"/>
    <x v="108"/>
    <x v="109"/>
    <x v="1"/>
  </r>
  <r>
    <s v="DOH"/>
    <s v="London Ambulance Service NHS Trust"/>
    <x v="7"/>
    <x v="1"/>
    <x v="1"/>
    <x v="56"/>
    <x v="109"/>
    <x v="110"/>
    <x v="0"/>
  </r>
  <r>
    <s v="DOH"/>
    <s v="London Ambulance Service NHS Trust"/>
    <x v="5"/>
    <x v="12"/>
    <x v="12"/>
    <x v="12"/>
    <x v="110"/>
    <x v="111"/>
    <x v="1"/>
  </r>
  <r>
    <s v="DOH"/>
    <s v="London Ambulance Service NHS Trust"/>
    <x v="8"/>
    <x v="41"/>
    <x v="50"/>
    <x v="57"/>
    <x v="111"/>
    <x v="112"/>
    <x v="0"/>
  </r>
  <r>
    <s v="DOH"/>
    <s v="London Ambulance Service NHS Trust"/>
    <x v="9"/>
    <x v="42"/>
    <x v="51"/>
    <x v="58"/>
    <x v="112"/>
    <x v="113"/>
    <x v="0"/>
  </r>
  <r>
    <s v="DOH"/>
    <s v="London Ambulance Service NHS Trust"/>
    <x v="6"/>
    <x v="43"/>
    <x v="50"/>
    <x v="59"/>
    <x v="113"/>
    <x v="11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6:B39" firstHeaderRow="1" firstDataRow="1" firstDataCol="1"/>
  <pivotFields count="9">
    <pivotField showAll="0"/>
    <pivotField showAll="0"/>
    <pivotField numFmtId="14" showAll="0">
      <items count="11">
        <item x="0"/>
        <item x="8"/>
        <item x="2"/>
        <item x="3"/>
        <item x="6"/>
        <item x="4"/>
        <item x="7"/>
        <item x="5"/>
        <item x="1"/>
        <item x="9"/>
        <item t="default"/>
      </items>
    </pivotField>
    <pivotField showAll="0">
      <items count="45">
        <item x="10"/>
        <item x="11"/>
        <item x="24"/>
        <item x="27"/>
        <item x="41"/>
        <item x="23"/>
        <item x="6"/>
        <item x="5"/>
        <item x="13"/>
        <item x="16"/>
        <item x="4"/>
        <item x="9"/>
        <item x="34"/>
        <item x="37"/>
        <item x="19"/>
        <item x="8"/>
        <item x="30"/>
        <item x="20"/>
        <item x="18"/>
        <item x="43"/>
        <item x="12"/>
        <item x="17"/>
        <item x="15"/>
        <item x="31"/>
        <item x="2"/>
        <item x="32"/>
        <item x="0"/>
        <item x="42"/>
        <item x="33"/>
        <item x="36"/>
        <item x="35"/>
        <item x="28"/>
        <item x="14"/>
        <item x="39"/>
        <item x="25"/>
        <item x="38"/>
        <item x="7"/>
        <item x="3"/>
        <item x="21"/>
        <item x="40"/>
        <item x="26"/>
        <item x="22"/>
        <item x="29"/>
        <item x="1"/>
        <item t="default"/>
      </items>
    </pivotField>
    <pivotField showAll="0">
      <items count="53">
        <item h="1" x="13"/>
        <item h="1" x="17"/>
        <item h="1" x="36"/>
        <item h="1" x="2"/>
        <item h="1" x="25"/>
        <item h="1" x="37"/>
        <item h="1" x="44"/>
        <item h="1" x="50"/>
        <item h="1" x="8"/>
        <item h="1" x="45"/>
        <item h="1" x="43"/>
        <item h="1" x="23"/>
        <item h="1" x="41"/>
        <item h="1" x="1"/>
        <item h="1" x="19"/>
        <item h="1" x="24"/>
        <item h="1" x="30"/>
        <item h="1" x="9"/>
        <item h="1" x="48"/>
        <item h="1" x="47"/>
        <item h="1" x="42"/>
        <item h="1" x="51"/>
        <item h="1" x="7"/>
        <item h="1" x="27"/>
        <item h="1" x="28"/>
        <item x="35"/>
        <item h="1" x="3"/>
        <item h="1" x="6"/>
        <item h="1" x="34"/>
        <item h="1" x="12"/>
        <item h="1" x="49"/>
        <item h="1" x="32"/>
        <item h="1" x="26"/>
        <item h="1" x="16"/>
        <item h="1" x="29"/>
        <item h="1" x="11"/>
        <item h="1" x="10"/>
        <item h="1" x="0"/>
        <item h="1" x="18"/>
        <item x="21"/>
        <item x="15"/>
        <item x="22"/>
        <item x="31"/>
        <item x="20"/>
        <item x="39"/>
        <item x="5"/>
        <item x="14"/>
        <item x="33"/>
        <item x="38"/>
        <item x="4"/>
        <item x="46"/>
        <item x="40"/>
        <item t="default"/>
      </items>
    </pivotField>
    <pivotField showAll="0">
      <items count="61">
        <item x="29"/>
        <item x="52"/>
        <item x="3"/>
        <item x="26"/>
        <item x="19"/>
        <item x="57"/>
        <item x="58"/>
        <item x="46"/>
        <item x="47"/>
        <item x="22"/>
        <item x="43"/>
        <item x="48"/>
        <item x="11"/>
        <item x="17"/>
        <item x="54"/>
        <item x="15"/>
        <item x="27"/>
        <item x="4"/>
        <item x="5"/>
        <item x="41"/>
        <item x="39"/>
        <item x="16"/>
        <item x="42"/>
        <item x="24"/>
        <item x="32"/>
        <item x="45"/>
        <item x="34"/>
        <item x="1"/>
        <item x="38"/>
        <item x="13"/>
        <item x="21"/>
        <item x="9"/>
        <item x="18"/>
        <item x="20"/>
        <item x="23"/>
        <item x="30"/>
        <item x="8"/>
        <item x="44"/>
        <item x="7"/>
        <item x="28"/>
        <item x="56"/>
        <item x="0"/>
        <item x="12"/>
        <item x="2"/>
        <item x="59"/>
        <item x="10"/>
        <item x="14"/>
        <item x="31"/>
        <item x="37"/>
        <item x="55"/>
        <item x="25"/>
        <item x="33"/>
        <item x="36"/>
        <item x="6"/>
        <item x="51"/>
        <item x="53"/>
        <item x="40"/>
        <item x="49"/>
        <item x="35"/>
        <item x="50"/>
        <item t="default"/>
      </items>
    </pivotField>
    <pivotField showAll="0">
      <items count="115">
        <item x="111"/>
        <item x="113"/>
        <item x="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dataField="1" showAll="0"/>
    <pivotField axis="axisRow" showAll="0">
      <items count="3">
        <item x="0"/>
        <item x="1"/>
        <item t="default"/>
      </items>
    </pivotField>
  </pivotFields>
  <rowFields count="1">
    <field x="8"/>
  </rowFields>
  <rowItems count="3">
    <i>
      <x/>
    </i>
    <i>
      <x v="1"/>
    </i>
    <i t="grand">
      <x/>
    </i>
  </rowItems>
  <colItems count="1">
    <i/>
  </colItems>
  <dataFields count="1">
    <dataField name="Sum of  Amount " fld="7" baseField="0" baseItem="0"/>
  </dataFields>
  <chartFormats count="5">
    <chartFormat chart="0" format="3"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8" count="1" selected="0">
            <x v="0"/>
          </reference>
        </references>
      </pivotArea>
    </chartFormat>
    <chartFormat chart="5"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5:B52" firstHeaderRow="1" firstDataRow="1" firstDataCol="1" rowPageCount="1" colPageCount="1"/>
  <pivotFields count="9">
    <pivotField showAll="0"/>
    <pivotField showAll="0"/>
    <pivotField numFmtId="14" showAll="0">
      <items count="11">
        <item x="0"/>
        <item x="8"/>
        <item x="2"/>
        <item x="3"/>
        <item x="6"/>
        <item x="4"/>
        <item x="7"/>
        <item x="5"/>
        <item x="1"/>
        <item x="9"/>
        <item t="default"/>
      </items>
    </pivotField>
    <pivotField showAll="0">
      <items count="45">
        <item x="10"/>
        <item x="11"/>
        <item x="24"/>
        <item x="27"/>
        <item x="41"/>
        <item x="23"/>
        <item x="6"/>
        <item x="5"/>
        <item x="13"/>
        <item x="16"/>
        <item x="4"/>
        <item x="9"/>
        <item x="34"/>
        <item x="37"/>
        <item x="19"/>
        <item x="8"/>
        <item x="30"/>
        <item x="20"/>
        <item x="18"/>
        <item x="43"/>
        <item x="12"/>
        <item x="17"/>
        <item x="15"/>
        <item x="31"/>
        <item x="2"/>
        <item x="32"/>
        <item x="0"/>
        <item x="42"/>
        <item x="33"/>
        <item x="36"/>
        <item x="35"/>
        <item x="28"/>
        <item x="14"/>
        <item x="39"/>
        <item x="25"/>
        <item x="38"/>
        <item x="7"/>
        <item x="3"/>
        <item x="21"/>
        <item x="40"/>
        <item x="26"/>
        <item x="22"/>
        <item x="29"/>
        <item x="1"/>
        <item t="default"/>
      </items>
    </pivotField>
    <pivotField showAll="0">
      <items count="53">
        <item h="1" x="13"/>
        <item h="1" x="17"/>
        <item h="1" x="36"/>
        <item h="1" x="2"/>
        <item h="1" x="25"/>
        <item h="1" x="37"/>
        <item h="1" x="44"/>
        <item h="1" x="50"/>
        <item h="1" x="8"/>
        <item h="1" x="45"/>
        <item h="1" x="43"/>
        <item h="1" x="23"/>
        <item h="1" x="41"/>
        <item h="1" x="1"/>
        <item h="1" x="19"/>
        <item h="1" x="24"/>
        <item h="1" x="30"/>
        <item h="1" x="9"/>
        <item h="1" x="48"/>
        <item h="1" x="47"/>
        <item h="1" x="42"/>
        <item h="1" x="51"/>
        <item h="1" x="7"/>
        <item h="1" x="27"/>
        <item h="1" x="28"/>
        <item x="35"/>
        <item h="1" x="3"/>
        <item h="1" x="6"/>
        <item h="1" x="34"/>
        <item h="1" x="12"/>
        <item h="1" x="49"/>
        <item h="1" x="32"/>
        <item h="1" x="26"/>
        <item h="1" x="16"/>
        <item h="1" x="29"/>
        <item h="1" x="11"/>
        <item h="1" x="10"/>
        <item h="1" x="0"/>
        <item h="1" x="18"/>
        <item x="21"/>
        <item x="15"/>
        <item x="22"/>
        <item x="31"/>
        <item x="20"/>
        <item x="39"/>
        <item x="5"/>
        <item x="14"/>
        <item x="33"/>
        <item x="38"/>
        <item x="4"/>
        <item x="46"/>
        <item x="40"/>
        <item t="default"/>
      </items>
    </pivotField>
    <pivotField axis="axisRow" showAll="0" sortType="descending">
      <items count="61">
        <item x="29"/>
        <item x="52"/>
        <item x="3"/>
        <item x="26"/>
        <item x="19"/>
        <item x="57"/>
        <item x="58"/>
        <item x="46"/>
        <item x="47"/>
        <item x="22"/>
        <item x="43"/>
        <item x="48"/>
        <item x="11"/>
        <item x="17"/>
        <item x="54"/>
        <item x="15"/>
        <item x="27"/>
        <item x="4"/>
        <item x="5"/>
        <item x="41"/>
        <item x="39"/>
        <item x="16"/>
        <item x="42"/>
        <item x="24"/>
        <item x="32"/>
        <item x="45"/>
        <item x="34"/>
        <item x="1"/>
        <item x="38"/>
        <item x="13"/>
        <item x="21"/>
        <item x="9"/>
        <item x="18"/>
        <item x="20"/>
        <item x="23"/>
        <item x="30"/>
        <item x="8"/>
        <item x="44"/>
        <item x="7"/>
        <item x="28"/>
        <item x="56"/>
        <item x="0"/>
        <item x="12"/>
        <item x="2"/>
        <item x="59"/>
        <item x="10"/>
        <item x="14"/>
        <item x="31"/>
        <item x="37"/>
        <item x="55"/>
        <item x="25"/>
        <item x="33"/>
        <item x="36"/>
        <item x="6"/>
        <item x="51"/>
        <item x="53"/>
        <item x="40"/>
        <item x="49"/>
        <item x="35"/>
        <item x="50"/>
        <item t="default"/>
      </items>
      <autoSortScope>
        <pivotArea dataOnly="0" outline="0" fieldPosition="0">
          <references count="1">
            <reference field="4294967294" count="1" selected="0">
              <x v="0"/>
            </reference>
          </references>
        </pivotArea>
      </autoSortScope>
    </pivotField>
    <pivotField showAll="0">
      <items count="115">
        <item x="111"/>
        <item x="113"/>
        <item x="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axis="axisPage" dataField="1" multipleItemSelectionAllowed="1" showAll="0">
      <items count="116">
        <item x="16"/>
        <item x="58"/>
        <item x="15"/>
        <item x="14"/>
        <item x="6"/>
        <item x="107"/>
        <item x="109"/>
        <item x="111"/>
        <item h="1" x="27"/>
        <item h="1" x="87"/>
        <item h="1" x="42"/>
        <item h="1" x="85"/>
        <item h="1" x="98"/>
        <item h="1" x="55"/>
        <item h="1" x="4"/>
        <item h="1" x="72"/>
        <item h="1" x="7"/>
        <item h="1" x="40"/>
        <item h="1" x="91"/>
        <item h="1" x="11"/>
        <item h="1" x="88"/>
        <item h="1" x="20"/>
        <item h="1" x="22"/>
        <item h="1" x="78"/>
        <item h="1" x="28"/>
        <item h="1" x="89"/>
        <item h="1" x="90"/>
        <item h="1" x="100"/>
        <item h="1" x="66"/>
        <item h="1" x="77"/>
        <item h="1" x="33"/>
        <item h="1" x="17"/>
        <item h="1" x="108"/>
        <item h="1" x="101"/>
        <item h="1" x="64"/>
        <item h="1" x="21"/>
        <item h="1" x="106"/>
        <item h="1" x="49"/>
        <item h="1" x="92"/>
        <item h="1" x="53"/>
        <item h="1" x="103"/>
        <item h="1" x="105"/>
        <item h="1" x="31"/>
        <item h="1" x="104"/>
        <item h="1" x="19"/>
        <item h="1" x="48"/>
        <item h="1" x="18"/>
        <item h="1" x="50"/>
        <item h="1" x="3"/>
        <item h="1" x="56"/>
        <item h="1" x="52"/>
        <item h="1" x="25"/>
        <item h="1" x="38"/>
        <item h="1" x="26"/>
        <item h="1" x="74"/>
        <item h="1" x="95"/>
        <item h="1" x="99"/>
        <item h="1" x="44"/>
        <item h="1" x="37"/>
        <item h="1" x="8"/>
        <item h="1" x="96"/>
        <item h="1" x="67"/>
        <item h="1" x="9"/>
        <item h="1" x="13"/>
        <item h="1" x="51"/>
        <item h="1" x="57"/>
        <item h="1" x="65"/>
        <item h="1" x="80"/>
        <item h="1" x="76"/>
        <item h="1" x="86"/>
        <item h="1" x="39"/>
        <item h="1" x="71"/>
        <item h="1" x="5"/>
        <item h="1" x="36"/>
        <item h="1" x="41"/>
        <item h="1" x="12"/>
        <item h="1" x="54"/>
        <item h="1" x="2"/>
        <item h="1" x="70"/>
        <item h="1" x="32"/>
        <item h="1" x="69"/>
        <item h="1" x="81"/>
        <item h="1" x="30"/>
        <item h="1" x="79"/>
        <item h="1" x="60"/>
        <item h="1" x="43"/>
        <item h="1" x="34"/>
        <item h="1" x="10"/>
        <item h="1" x="102"/>
        <item h="1" x="35"/>
        <item h="1" x="113"/>
        <item h="1" x="24"/>
        <item h="1" x="84"/>
        <item h="1" x="47"/>
        <item h="1" x="82"/>
        <item h="1" x="97"/>
        <item h="1" x="61"/>
        <item h="1" x="73"/>
        <item h="1" x="45"/>
        <item h="1" x="93"/>
        <item h="1" x="1"/>
        <item h="1" x="114"/>
        <item h="1" x="68"/>
        <item h="1" x="75"/>
        <item h="1" x="46"/>
        <item h="1" x="63"/>
        <item h="1" x="83"/>
        <item h="1" x="62"/>
        <item h="1" x="0"/>
        <item h="1" x="112"/>
        <item h="1" x="59"/>
        <item h="1" x="110"/>
        <item h="1" x="94"/>
        <item h="1" x="29"/>
        <item h="1" x="23"/>
        <item t="default"/>
      </items>
    </pivotField>
    <pivotField showAll="0">
      <items count="3">
        <item x="0"/>
        <item x="1"/>
        <item t="default"/>
      </items>
    </pivotField>
  </pivotFields>
  <rowFields count="1">
    <field x="5"/>
  </rowFields>
  <rowItems count="7">
    <i>
      <x v="42"/>
    </i>
    <i>
      <x v="40"/>
    </i>
    <i>
      <x v="18"/>
    </i>
    <i>
      <x v="31"/>
    </i>
    <i>
      <x v="41"/>
    </i>
    <i>
      <x v="43"/>
    </i>
    <i t="grand">
      <x/>
    </i>
  </rowItems>
  <colItems count="1">
    <i/>
  </colItems>
  <pageFields count="1">
    <pageField fld="7" hier="-1"/>
  </pageFields>
  <dataFields count="1">
    <dataField name="Sum of  Amount "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0:B26" firstHeaderRow="1" firstDataRow="1" firstDataCol="1"/>
  <pivotFields count="9">
    <pivotField showAll="0"/>
    <pivotField showAll="0"/>
    <pivotField numFmtId="14" showAll="0">
      <items count="11">
        <item x="0"/>
        <item x="8"/>
        <item x="2"/>
        <item x="3"/>
        <item x="6"/>
        <item x="4"/>
        <item x="7"/>
        <item x="5"/>
        <item x="1"/>
        <item x="9"/>
        <item t="default"/>
      </items>
    </pivotField>
    <pivotField showAll="0">
      <items count="45">
        <item x="10"/>
        <item x="11"/>
        <item x="24"/>
        <item x="27"/>
        <item x="41"/>
        <item x="23"/>
        <item x="6"/>
        <item x="5"/>
        <item x="13"/>
        <item x="16"/>
        <item x="4"/>
        <item x="9"/>
        <item x="34"/>
        <item x="37"/>
        <item x="19"/>
        <item x="8"/>
        <item x="30"/>
        <item x="20"/>
        <item x="18"/>
        <item x="43"/>
        <item x="12"/>
        <item x="17"/>
        <item x="15"/>
        <item x="31"/>
        <item x="2"/>
        <item x="32"/>
        <item x="0"/>
        <item x="42"/>
        <item x="33"/>
        <item x="36"/>
        <item x="35"/>
        <item x="28"/>
        <item x="14"/>
        <item x="39"/>
        <item x="25"/>
        <item x="38"/>
        <item x="7"/>
        <item x="3"/>
        <item x="21"/>
        <item x="40"/>
        <item x="26"/>
        <item x="22"/>
        <item x="29"/>
        <item x="1"/>
        <item t="default"/>
      </items>
    </pivotField>
    <pivotField axis="axisRow" showAll="0" measureFilter="1" sortType="descending">
      <items count="53">
        <item x="13"/>
        <item x="17"/>
        <item x="36"/>
        <item x="2"/>
        <item x="25"/>
        <item x="37"/>
        <item x="44"/>
        <item x="50"/>
        <item x="8"/>
        <item x="45"/>
        <item x="43"/>
        <item x="23"/>
        <item x="41"/>
        <item x="1"/>
        <item x="19"/>
        <item x="24"/>
        <item x="30"/>
        <item x="9"/>
        <item x="48"/>
        <item x="47"/>
        <item x="42"/>
        <item x="51"/>
        <item x="7"/>
        <item x="27"/>
        <item x="28"/>
        <item x="35"/>
        <item x="3"/>
        <item x="6"/>
        <item x="34"/>
        <item x="12"/>
        <item x="49"/>
        <item x="32"/>
        <item x="26"/>
        <item x="16"/>
        <item x="29"/>
        <item x="11"/>
        <item x="10"/>
        <item x="0"/>
        <item x="18"/>
        <item x="21"/>
        <item x="15"/>
        <item x="22"/>
        <item x="31"/>
        <item x="20"/>
        <item x="39"/>
        <item x="5"/>
        <item x="14"/>
        <item x="33"/>
        <item x="38"/>
        <item x="4"/>
        <item x="46"/>
        <item x="40"/>
        <item t="default"/>
      </items>
      <autoSortScope>
        <pivotArea dataOnly="0" outline="0" fieldPosition="0">
          <references count="1">
            <reference field="4294967294" count="1" selected="0">
              <x v="0"/>
            </reference>
          </references>
        </pivotArea>
      </autoSortScope>
    </pivotField>
    <pivotField showAll="0">
      <items count="61">
        <item x="29"/>
        <item x="52"/>
        <item x="3"/>
        <item x="26"/>
        <item x="19"/>
        <item x="57"/>
        <item x="58"/>
        <item x="46"/>
        <item x="47"/>
        <item x="22"/>
        <item x="43"/>
        <item x="48"/>
        <item x="11"/>
        <item x="17"/>
        <item x="54"/>
        <item x="15"/>
        <item x="27"/>
        <item x="4"/>
        <item x="5"/>
        <item x="41"/>
        <item x="39"/>
        <item x="16"/>
        <item x="42"/>
        <item x="24"/>
        <item x="32"/>
        <item x="45"/>
        <item x="34"/>
        <item x="1"/>
        <item x="38"/>
        <item x="13"/>
        <item x="21"/>
        <item x="9"/>
        <item x="18"/>
        <item x="20"/>
        <item x="23"/>
        <item x="30"/>
        <item x="8"/>
        <item x="44"/>
        <item x="7"/>
        <item x="28"/>
        <item x="56"/>
        <item x="0"/>
        <item x="12"/>
        <item x="2"/>
        <item x="59"/>
        <item x="10"/>
        <item x="14"/>
        <item x="31"/>
        <item x="37"/>
        <item x="55"/>
        <item x="25"/>
        <item x="33"/>
        <item x="36"/>
        <item x="6"/>
        <item x="51"/>
        <item x="53"/>
        <item x="40"/>
        <item x="49"/>
        <item x="35"/>
        <item x="50"/>
        <item t="default"/>
      </items>
    </pivotField>
    <pivotField showAll="0">
      <items count="115">
        <item x="111"/>
        <item x="113"/>
        <item x="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dataField="1" showAll="0"/>
    <pivotField showAll="0">
      <items count="3">
        <item x="0"/>
        <item x="1"/>
        <item t="default"/>
      </items>
    </pivotField>
  </pivotFields>
  <rowFields count="1">
    <field x="4"/>
  </rowFields>
  <rowItems count="6">
    <i>
      <x v="13"/>
    </i>
    <i>
      <x/>
    </i>
    <i>
      <x v="38"/>
    </i>
    <i>
      <x v="39"/>
    </i>
    <i>
      <x v="7"/>
    </i>
    <i t="grand">
      <x/>
    </i>
  </rowItems>
  <colItems count="1">
    <i/>
  </colItems>
  <dataFields count="1">
    <dataField name="Sum of  Amount "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53:I56" firstHeaderRow="1" firstDataRow="1" firstDataCol="1"/>
  <pivotFields count="9">
    <pivotField showAll="0"/>
    <pivotField showAll="0"/>
    <pivotField numFmtId="14" showAll="0">
      <items count="11">
        <item x="0"/>
        <item x="8"/>
        <item x="2"/>
        <item x="3"/>
        <item x="6"/>
        <item x="4"/>
        <item x="7"/>
        <item x="5"/>
        <item x="1"/>
        <item x="9"/>
        <item t="default"/>
      </items>
    </pivotField>
    <pivotField showAll="0">
      <items count="45">
        <item x="10"/>
        <item x="11"/>
        <item x="24"/>
        <item x="27"/>
        <item x="41"/>
        <item x="23"/>
        <item x="6"/>
        <item x="5"/>
        <item x="13"/>
        <item x="16"/>
        <item x="4"/>
        <item x="9"/>
        <item x="34"/>
        <item x="37"/>
        <item x="19"/>
        <item x="8"/>
        <item x="30"/>
        <item x="20"/>
        <item x="18"/>
        <item x="43"/>
        <item x="12"/>
        <item x="17"/>
        <item x="15"/>
        <item x="31"/>
        <item x="2"/>
        <item x="32"/>
        <item x="0"/>
        <item x="42"/>
        <item x="33"/>
        <item x="36"/>
        <item x="35"/>
        <item x="28"/>
        <item x="14"/>
        <item x="39"/>
        <item x="25"/>
        <item x="38"/>
        <item x="7"/>
        <item x="3"/>
        <item x="21"/>
        <item x="40"/>
        <item x="26"/>
        <item x="22"/>
        <item x="29"/>
        <item x="1"/>
        <item t="default"/>
      </items>
    </pivotField>
    <pivotField showAll="0">
      <items count="53">
        <item h="1" x="13"/>
        <item h="1" x="17"/>
        <item h="1" x="36"/>
        <item h="1" x="2"/>
        <item h="1" x="25"/>
        <item h="1" x="37"/>
        <item h="1" x="44"/>
        <item h="1" x="50"/>
        <item h="1" x="8"/>
        <item h="1" x="45"/>
        <item h="1" x="43"/>
        <item h="1" x="23"/>
        <item h="1" x="41"/>
        <item h="1" x="1"/>
        <item h="1" x="19"/>
        <item h="1" x="24"/>
        <item h="1" x="30"/>
        <item h="1" x="9"/>
        <item h="1" x="48"/>
        <item h="1" x="47"/>
        <item h="1" x="42"/>
        <item h="1" x="51"/>
        <item h="1" x="7"/>
        <item h="1" x="27"/>
        <item h="1" x="28"/>
        <item x="35"/>
        <item h="1" x="3"/>
        <item h="1" x="6"/>
        <item h="1" x="34"/>
        <item h="1" x="12"/>
        <item h="1" x="49"/>
        <item h="1" x="32"/>
        <item h="1" x="26"/>
        <item h="1" x="16"/>
        <item h="1" x="29"/>
        <item h="1" x="11"/>
        <item h="1" x="10"/>
        <item h="1" x="0"/>
        <item h="1" x="18"/>
        <item x="21"/>
        <item x="15"/>
        <item x="22"/>
        <item x="31"/>
        <item x="20"/>
        <item x="39"/>
        <item x="5"/>
        <item x="14"/>
        <item x="33"/>
        <item x="38"/>
        <item x="4"/>
        <item x="46"/>
        <item x="40"/>
        <item t="default"/>
      </items>
    </pivotField>
    <pivotField showAll="0">
      <items count="61">
        <item x="29"/>
        <item x="52"/>
        <item x="3"/>
        <item x="26"/>
        <item x="19"/>
        <item x="57"/>
        <item x="58"/>
        <item x="46"/>
        <item x="47"/>
        <item x="22"/>
        <item x="43"/>
        <item x="48"/>
        <item x="11"/>
        <item x="17"/>
        <item x="54"/>
        <item x="15"/>
        <item x="27"/>
        <item x="4"/>
        <item x="5"/>
        <item x="41"/>
        <item x="39"/>
        <item x="16"/>
        <item x="42"/>
        <item x="24"/>
        <item x="32"/>
        <item x="45"/>
        <item x="34"/>
        <item x="1"/>
        <item x="38"/>
        <item x="13"/>
        <item x="21"/>
        <item x="9"/>
        <item x="18"/>
        <item x="20"/>
        <item x="23"/>
        <item x="30"/>
        <item x="8"/>
        <item x="44"/>
        <item x="7"/>
        <item x="28"/>
        <item x="56"/>
        <item x="0"/>
        <item x="12"/>
        <item x="2"/>
        <item x="59"/>
        <item x="10"/>
        <item x="14"/>
        <item x="31"/>
        <item x="37"/>
        <item x="55"/>
        <item x="25"/>
        <item x="33"/>
        <item x="36"/>
        <item x="6"/>
        <item x="51"/>
        <item x="53"/>
        <item x="40"/>
        <item x="49"/>
        <item x="35"/>
        <item x="50"/>
        <item t="default"/>
      </items>
    </pivotField>
    <pivotField showAll="0">
      <items count="115">
        <item x="111"/>
        <item x="113"/>
        <item x="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dataField="1" multipleItemSelectionAllowed="1" showAll="0">
      <items count="116">
        <item x="16"/>
        <item x="58"/>
        <item x="15"/>
        <item x="14"/>
        <item x="6"/>
        <item x="107"/>
        <item x="109"/>
        <item x="111"/>
        <item h="1" x="27"/>
        <item h="1" x="87"/>
        <item h="1" x="42"/>
        <item h="1" x="85"/>
        <item h="1" x="98"/>
        <item h="1" x="55"/>
        <item h="1" x="4"/>
        <item h="1" x="72"/>
        <item h="1" x="7"/>
        <item h="1" x="40"/>
        <item h="1" x="91"/>
        <item h="1" x="11"/>
        <item h="1" x="88"/>
        <item h="1" x="20"/>
        <item h="1" x="22"/>
        <item h="1" x="78"/>
        <item h="1" x="28"/>
        <item h="1" x="89"/>
        <item h="1" x="90"/>
        <item h="1" x="100"/>
        <item h="1" x="66"/>
        <item h="1" x="77"/>
        <item h="1" x="33"/>
        <item h="1" x="17"/>
        <item h="1" x="108"/>
        <item h="1" x="101"/>
        <item h="1" x="64"/>
        <item h="1" x="21"/>
        <item h="1" x="106"/>
        <item h="1" x="49"/>
        <item h="1" x="92"/>
        <item h="1" x="53"/>
        <item h="1" x="103"/>
        <item h="1" x="105"/>
        <item h="1" x="31"/>
        <item h="1" x="104"/>
        <item h="1" x="19"/>
        <item h="1" x="48"/>
        <item h="1" x="18"/>
        <item h="1" x="50"/>
        <item h="1" x="3"/>
        <item h="1" x="56"/>
        <item h="1" x="52"/>
        <item h="1" x="25"/>
        <item h="1" x="38"/>
        <item h="1" x="26"/>
        <item h="1" x="74"/>
        <item h="1" x="95"/>
        <item h="1" x="99"/>
        <item h="1" x="44"/>
        <item h="1" x="37"/>
        <item h="1" x="8"/>
        <item h="1" x="96"/>
        <item h="1" x="67"/>
        <item h="1" x="9"/>
        <item h="1" x="13"/>
        <item h="1" x="51"/>
        <item h="1" x="57"/>
        <item h="1" x="65"/>
        <item h="1" x="80"/>
        <item h="1" x="76"/>
        <item h="1" x="86"/>
        <item h="1" x="39"/>
        <item h="1" x="71"/>
        <item h="1" x="5"/>
        <item h="1" x="36"/>
        <item h="1" x="41"/>
        <item h="1" x="12"/>
        <item h="1" x="54"/>
        <item h="1" x="2"/>
        <item h="1" x="70"/>
        <item h="1" x="32"/>
        <item h="1" x="69"/>
        <item h="1" x="81"/>
        <item h="1" x="30"/>
        <item h="1" x="79"/>
        <item h="1" x="60"/>
        <item h="1" x="43"/>
        <item h="1" x="34"/>
        <item h="1" x="10"/>
        <item h="1" x="102"/>
        <item h="1" x="35"/>
        <item h="1" x="113"/>
        <item h="1" x="24"/>
        <item h="1" x="84"/>
        <item h="1" x="47"/>
        <item h="1" x="82"/>
        <item h="1" x="97"/>
        <item h="1" x="61"/>
        <item h="1" x="73"/>
        <item h="1" x="45"/>
        <item h="1" x="93"/>
        <item h="1" x="1"/>
        <item h="1" x="114"/>
        <item h="1" x="68"/>
        <item h="1" x="75"/>
        <item h="1" x="46"/>
        <item h="1" x="63"/>
        <item h="1" x="83"/>
        <item h="1" x="62"/>
        <item h="1" x="0"/>
        <item h="1" x="112"/>
        <item h="1" x="59"/>
        <item h="1" x="110"/>
        <item h="1" x="94"/>
        <item h="1" x="29"/>
        <item h="1" x="23"/>
        <item t="default"/>
      </items>
    </pivotField>
    <pivotField axis="axisRow" showAll="0">
      <items count="3">
        <item x="0"/>
        <item x="1"/>
        <item t="default"/>
      </items>
    </pivotField>
  </pivotFields>
  <rowFields count="1">
    <field x="8"/>
  </rowFields>
  <rowItems count="3">
    <i>
      <x/>
    </i>
    <i>
      <x v="1"/>
    </i>
    <i t="grand">
      <x/>
    </i>
  </rowItems>
  <colItems count="1">
    <i/>
  </colItems>
  <dataFields count="1">
    <dataField name="Sum of  Amount "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9">
    <pivotField showAll="0"/>
    <pivotField showAll="0"/>
    <pivotField numFmtId="14" showAll="0">
      <items count="11">
        <item x="0"/>
        <item x="8"/>
        <item x="2"/>
        <item x="3"/>
        <item x="6"/>
        <item x="4"/>
        <item x="7"/>
        <item x="5"/>
        <item x="1"/>
        <item x="9"/>
        <item t="default"/>
      </items>
    </pivotField>
    <pivotField axis="axisRow" showAll="0" measureFilter="1" sortType="ascending">
      <items count="45">
        <item x="10"/>
        <item x="11"/>
        <item x="24"/>
        <item x="27"/>
        <item x="41"/>
        <item x="23"/>
        <item x="6"/>
        <item x="5"/>
        <item x="13"/>
        <item x="16"/>
        <item x="4"/>
        <item x="9"/>
        <item x="34"/>
        <item x="37"/>
        <item x="19"/>
        <item x="8"/>
        <item x="30"/>
        <item x="20"/>
        <item x="18"/>
        <item x="43"/>
        <item x="12"/>
        <item x="17"/>
        <item x="15"/>
        <item x="31"/>
        <item x="2"/>
        <item x="32"/>
        <item x="0"/>
        <item x="42"/>
        <item x="33"/>
        <item x="36"/>
        <item x="35"/>
        <item x="28"/>
        <item x="14"/>
        <item x="39"/>
        <item x="25"/>
        <item x="38"/>
        <item x="7"/>
        <item x="3"/>
        <item x="21"/>
        <item x="40"/>
        <item x="26"/>
        <item x="22"/>
        <item x="29"/>
        <item x="1"/>
        <item t="default"/>
      </items>
      <autoSortScope>
        <pivotArea dataOnly="0" outline="0" fieldPosition="0">
          <references count="1">
            <reference field="4294967294" count="1" selected="0">
              <x v="0"/>
            </reference>
          </references>
        </pivotArea>
      </autoSortScope>
    </pivotField>
    <pivotField showAll="0">
      <items count="53">
        <item h="1" x="13"/>
        <item h="1" x="17"/>
        <item h="1" x="36"/>
        <item h="1" x="2"/>
        <item h="1" x="25"/>
        <item h="1" x="37"/>
        <item h="1" x="44"/>
        <item h="1" x="50"/>
        <item h="1" x="8"/>
        <item h="1" x="45"/>
        <item h="1" x="43"/>
        <item h="1" x="23"/>
        <item h="1" x="41"/>
        <item h="1" x="1"/>
        <item h="1" x="19"/>
        <item h="1" x="24"/>
        <item h="1" x="30"/>
        <item h="1" x="9"/>
        <item h="1" x="48"/>
        <item h="1" x="47"/>
        <item h="1" x="42"/>
        <item h="1" x="51"/>
        <item h="1" x="7"/>
        <item h="1" x="27"/>
        <item h="1" x="28"/>
        <item x="35"/>
        <item h="1" x="3"/>
        <item h="1" x="6"/>
        <item h="1" x="34"/>
        <item h="1" x="12"/>
        <item h="1" x="49"/>
        <item h="1" x="32"/>
        <item h="1" x="26"/>
        <item h="1" x="16"/>
        <item h="1" x="29"/>
        <item h="1" x="11"/>
        <item h="1" x="10"/>
        <item h="1" x="0"/>
        <item h="1" x="18"/>
        <item x="21"/>
        <item x="15"/>
        <item x="22"/>
        <item x="31"/>
        <item x="20"/>
        <item x="39"/>
        <item x="5"/>
        <item x="14"/>
        <item x="33"/>
        <item x="38"/>
        <item x="4"/>
        <item x="46"/>
        <item x="40"/>
        <item t="default"/>
      </items>
    </pivotField>
    <pivotField showAll="0">
      <items count="61">
        <item x="29"/>
        <item x="52"/>
        <item x="3"/>
        <item x="26"/>
        <item x="19"/>
        <item x="57"/>
        <item x="58"/>
        <item x="46"/>
        <item x="47"/>
        <item x="22"/>
        <item x="43"/>
        <item x="48"/>
        <item x="11"/>
        <item x="17"/>
        <item x="54"/>
        <item x="15"/>
        <item x="27"/>
        <item x="4"/>
        <item x="5"/>
        <item x="41"/>
        <item x="39"/>
        <item x="16"/>
        <item x="42"/>
        <item x="24"/>
        <item x="32"/>
        <item x="45"/>
        <item x="34"/>
        <item x="1"/>
        <item x="38"/>
        <item x="13"/>
        <item x="21"/>
        <item x="9"/>
        <item x="18"/>
        <item x="20"/>
        <item x="23"/>
        <item x="30"/>
        <item x="8"/>
        <item x="44"/>
        <item x="7"/>
        <item x="28"/>
        <item x="56"/>
        <item x="0"/>
        <item x="12"/>
        <item x="2"/>
        <item x="59"/>
        <item x="10"/>
        <item x="14"/>
        <item x="31"/>
        <item x="37"/>
        <item x="55"/>
        <item x="25"/>
        <item x="33"/>
        <item x="36"/>
        <item x="6"/>
        <item x="51"/>
        <item x="53"/>
        <item x="40"/>
        <item x="49"/>
        <item x="35"/>
        <item x="50"/>
        <item t="default"/>
      </items>
    </pivotField>
    <pivotField showAll="0">
      <items count="115">
        <item x="111"/>
        <item x="113"/>
        <item x="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dataField="1" showAll="0"/>
    <pivotField showAll="0">
      <items count="3">
        <item x="0"/>
        <item x="1"/>
        <item t="default"/>
      </items>
    </pivotField>
  </pivotFields>
  <rowFields count="1">
    <field x="3"/>
  </rowFields>
  <rowItems count="11">
    <i>
      <x v="7"/>
    </i>
    <i>
      <x v="8"/>
    </i>
    <i>
      <x v="4"/>
    </i>
    <i>
      <x v="25"/>
    </i>
    <i>
      <x v="16"/>
    </i>
    <i>
      <x v="23"/>
    </i>
    <i>
      <x v="9"/>
    </i>
    <i>
      <x v="37"/>
    </i>
    <i>
      <x v="43"/>
    </i>
    <i>
      <x v="24"/>
    </i>
    <i t="grand">
      <x/>
    </i>
  </rowItems>
  <colItems count="1">
    <i/>
  </colItems>
  <dataFields count="1">
    <dataField name="Sum of  Amount " fld="7"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8:B69" firstHeaderRow="1" firstDataRow="1" firstDataCol="1"/>
  <pivotFields count="9">
    <pivotField showAll="0"/>
    <pivotField showAll="0"/>
    <pivotField numFmtId="14" showAll="0">
      <items count="11">
        <item x="0"/>
        <item x="8"/>
        <item x="2"/>
        <item x="3"/>
        <item x="6"/>
        <item x="4"/>
        <item x="7"/>
        <item x="5"/>
        <item x="1"/>
        <item x="9"/>
        <item t="default"/>
      </items>
    </pivotField>
    <pivotField showAll="0">
      <items count="45">
        <item x="10"/>
        <item x="11"/>
        <item x="24"/>
        <item x="27"/>
        <item x="41"/>
        <item x="23"/>
        <item x="6"/>
        <item x="5"/>
        <item x="13"/>
        <item x="16"/>
        <item x="4"/>
        <item x="9"/>
        <item x="34"/>
        <item x="37"/>
        <item x="19"/>
        <item x="8"/>
        <item x="30"/>
        <item x="20"/>
        <item x="18"/>
        <item x="43"/>
        <item x="12"/>
        <item x="17"/>
        <item x="15"/>
        <item x="31"/>
        <item x="2"/>
        <item x="32"/>
        <item x="0"/>
        <item x="42"/>
        <item x="33"/>
        <item x="36"/>
        <item x="35"/>
        <item x="28"/>
        <item x="14"/>
        <item x="39"/>
        <item x="25"/>
        <item x="38"/>
        <item x="7"/>
        <item x="3"/>
        <item x="21"/>
        <item x="40"/>
        <item x="26"/>
        <item x="22"/>
        <item x="29"/>
        <item x="1"/>
        <item t="default"/>
      </items>
    </pivotField>
    <pivotField showAll="0">
      <items count="53">
        <item h="1" x="13"/>
        <item h="1" x="17"/>
        <item h="1" x="36"/>
        <item h="1" x="2"/>
        <item h="1" x="25"/>
        <item h="1" x="37"/>
        <item h="1" x="44"/>
        <item h="1" x="50"/>
        <item h="1" x="8"/>
        <item h="1" x="45"/>
        <item h="1" x="43"/>
        <item h="1" x="23"/>
        <item h="1" x="41"/>
        <item h="1" x="1"/>
        <item h="1" x="19"/>
        <item h="1" x="24"/>
        <item h="1" x="30"/>
        <item h="1" x="9"/>
        <item h="1" x="48"/>
        <item h="1" x="47"/>
        <item h="1" x="42"/>
        <item h="1" x="51"/>
        <item h="1" x="7"/>
        <item h="1" x="27"/>
        <item h="1" x="28"/>
        <item x="35"/>
        <item h="1" x="3"/>
        <item h="1" x="6"/>
        <item h="1" x="34"/>
        <item h="1" x="12"/>
        <item h="1" x="49"/>
        <item h="1" x="32"/>
        <item h="1" x="26"/>
        <item h="1" x="16"/>
        <item h="1" x="29"/>
        <item h="1" x="11"/>
        <item h="1" x="10"/>
        <item h="1" x="0"/>
        <item h="1" x="18"/>
        <item x="21"/>
        <item x="15"/>
        <item x="22"/>
        <item x="31"/>
        <item x="20"/>
        <item x="39"/>
        <item x="5"/>
        <item x="14"/>
        <item x="33"/>
        <item x="38"/>
        <item x="4"/>
        <item x="46"/>
        <item x="40"/>
        <item t="default"/>
      </items>
    </pivotField>
    <pivotField axis="axisRow" showAll="0" measureFilter="1" sortType="ascending">
      <items count="61">
        <item x="29"/>
        <item x="52"/>
        <item x="3"/>
        <item x="26"/>
        <item x="19"/>
        <item x="57"/>
        <item x="58"/>
        <item x="46"/>
        <item x="47"/>
        <item x="22"/>
        <item x="43"/>
        <item x="48"/>
        <item x="11"/>
        <item x="17"/>
        <item x="54"/>
        <item x="15"/>
        <item x="27"/>
        <item x="4"/>
        <item x="5"/>
        <item x="41"/>
        <item x="39"/>
        <item x="16"/>
        <item x="42"/>
        <item x="24"/>
        <item x="32"/>
        <item x="45"/>
        <item x="34"/>
        <item x="1"/>
        <item x="38"/>
        <item x="13"/>
        <item x="21"/>
        <item x="9"/>
        <item x="18"/>
        <item x="20"/>
        <item x="23"/>
        <item x="30"/>
        <item x="8"/>
        <item x="44"/>
        <item x="7"/>
        <item x="28"/>
        <item x="56"/>
        <item x="0"/>
        <item x="12"/>
        <item x="2"/>
        <item x="59"/>
        <item x="10"/>
        <item x="14"/>
        <item x="31"/>
        <item x="37"/>
        <item x="55"/>
        <item x="25"/>
        <item x="33"/>
        <item x="36"/>
        <item x="6"/>
        <item x="51"/>
        <item x="53"/>
        <item x="40"/>
        <item x="49"/>
        <item x="35"/>
        <item x="50"/>
        <item t="default"/>
      </items>
      <autoSortScope>
        <pivotArea dataOnly="0" outline="0" fieldPosition="0">
          <references count="1">
            <reference field="4294967294" count="1" selected="0">
              <x v="0"/>
            </reference>
          </references>
        </pivotArea>
      </autoSortScope>
    </pivotField>
    <pivotField showAll="0">
      <items count="115">
        <item x="111"/>
        <item x="113"/>
        <item x="1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t="default"/>
      </items>
    </pivotField>
    <pivotField dataField="1" showAll="0"/>
    <pivotField showAll="0">
      <items count="3">
        <item x="0"/>
        <item x="1"/>
        <item t="default"/>
      </items>
    </pivotField>
  </pivotFields>
  <rowFields count="1">
    <field x="5"/>
  </rowFields>
  <rowItems count="11">
    <i>
      <x v="23"/>
    </i>
    <i>
      <x v="18"/>
    </i>
    <i>
      <x v="5"/>
    </i>
    <i>
      <x v="35"/>
    </i>
    <i>
      <x v="40"/>
    </i>
    <i>
      <x v="48"/>
    </i>
    <i>
      <x v="4"/>
    </i>
    <i>
      <x v="10"/>
    </i>
    <i>
      <x v="28"/>
    </i>
    <i>
      <x v="29"/>
    </i>
    <i t="grand">
      <x/>
    </i>
  </rowItems>
  <colItems count="1">
    <i/>
  </colItems>
  <dataFields count="1">
    <dataField name="Sum of  Amount " fld="7"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200-000000000000}" autoFormatId="16" applyNumberFormats="0" applyBorderFormats="0" applyFontFormats="0" applyPatternFormats="0" applyAlignmentFormats="0" applyWidthHeightFormats="0">
  <queryTableRefresh nextId="10">
    <queryTableFields count="9">
      <queryTableField id="1" name="Department Family" tableColumnId="10"/>
      <queryTableField id="2" name="Entity" tableColumnId="2"/>
      <queryTableField id="3" name="Date" tableColumnId="3"/>
      <queryTableField id="4" name="Expense Type" tableColumnId="4"/>
      <queryTableField id="5" name="Expense Area" tableColumnId="5"/>
      <queryTableField id="6" name="Suppliers" tableColumnId="6"/>
      <queryTableField id="7" name="Transaction Number" tableColumnId="7"/>
      <queryTableField id="8" name=" Amount " tableColumnId="8"/>
      <queryTableField id="9" name="Transaction_typ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00000000-0013-0000-FFFF-FFFF01000000}" sourceName="Transaction_type">
  <pivotTables>
    <pivotTable tabId="4" name="PivotTable1"/>
    <pivotTable tabId="4" name="PivotTable2"/>
    <pivotTable tabId="4" name="PivotTable3"/>
    <pivotTable tabId="4" name="PivotTable4"/>
    <pivotTable tabId="4" name="PivotTable5"/>
    <pivotTable tabId="4"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00000000-0013-0000-FFFF-FFFF02000000}" sourceName="Date">
  <pivotTables>
    <pivotTable tabId="4" name="PivotTable1"/>
    <pivotTable tabId="4" name="PivotTable2"/>
    <pivotTable tabId="4" name="PivotTable3"/>
    <pivotTable tabId="4" name="PivotTable4"/>
    <pivotTable tabId="4" name="PivotTable5"/>
    <pivotTable tabId="4" name="PivotTable6"/>
  </pivotTables>
  <data>
    <tabular pivotCacheId="1">
      <items count="10">
        <i x="0" s="1"/>
        <i x="8" s="1"/>
        <i x="2" s="1"/>
        <i x="3" s="1"/>
        <i x="6" s="1"/>
        <i x="4" s="1"/>
        <i x="7" s="1"/>
        <i x="5" s="1"/>
        <i x="1"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s" xr10:uid="{15C79B65-9627-4DE4-BF72-BE791736B5E3}" sourceName="Suppliers">
  <pivotTables>
    <pivotTable tabId="4" name="PivotTable3"/>
    <pivotTable tabId="4" name="PivotTable1"/>
    <pivotTable tabId="4" name="PivotTable2"/>
    <pivotTable tabId="4" name="PivotTable4"/>
    <pivotTable tabId="4" name="PivotTable5"/>
    <pivotTable tabId="4" name="PivotTable6"/>
  </pivotTables>
  <data>
    <tabular pivotCacheId="1">
      <items count="60">
        <i x="29" s="1"/>
        <i x="52" s="1"/>
        <i x="3" s="1"/>
        <i x="26" s="1"/>
        <i x="19" s="1"/>
        <i x="57" s="1"/>
        <i x="58" s="1"/>
        <i x="46" s="1"/>
        <i x="47" s="1"/>
        <i x="22" s="1"/>
        <i x="43" s="1"/>
        <i x="48" s="1"/>
        <i x="11" s="1"/>
        <i x="17" s="1"/>
        <i x="54" s="1"/>
        <i x="15" s="1"/>
        <i x="27" s="1"/>
        <i x="4" s="1"/>
        <i x="5" s="1"/>
        <i x="41" s="1"/>
        <i x="39" s="1"/>
        <i x="16" s="1"/>
        <i x="42" s="1"/>
        <i x="24" s="1"/>
        <i x="32" s="1"/>
        <i x="45" s="1"/>
        <i x="34" s="1"/>
        <i x="1" s="1"/>
        <i x="38" s="1"/>
        <i x="13" s="1"/>
        <i x="21" s="1"/>
        <i x="9" s="1"/>
        <i x="18" s="1"/>
        <i x="20" s="1"/>
        <i x="23" s="1"/>
        <i x="30" s="1"/>
        <i x="8" s="1"/>
        <i x="44" s="1"/>
        <i x="7" s="1"/>
        <i x="28" s="1"/>
        <i x="56" s="1"/>
        <i x="0" s="1"/>
        <i x="12" s="1"/>
        <i x="2" s="1"/>
        <i x="59" s="1"/>
        <i x="10" s="1"/>
        <i x="14" s="1"/>
        <i x="31" s="1"/>
        <i x="37" s="1"/>
        <i x="55" s="1"/>
        <i x="25" s="1"/>
        <i x="33" s="1"/>
        <i x="36" s="1"/>
        <i x="6" s="1"/>
        <i x="51" s="1"/>
        <i x="53" s="1"/>
        <i x="40" s="1"/>
        <i x="49" s="1"/>
        <i x="35" s="1"/>
        <i x="5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nse_Type" xr10:uid="{343F81FB-BA8C-4964-9F32-01245C4D1D15}" sourceName="Expense Type">
  <pivotTables>
    <pivotTable tabId="4" name="PivotTable3"/>
    <pivotTable tabId="4" name="PivotTable1"/>
    <pivotTable tabId="4" name="PivotTable2"/>
    <pivotTable tabId="4" name="PivotTable4"/>
    <pivotTable tabId="4" name="PivotTable5"/>
    <pivotTable tabId="4" name="PivotTable6"/>
  </pivotTables>
  <data>
    <tabular pivotCacheId="1">
      <items count="44">
        <i x="10" s="1"/>
        <i x="11" s="1"/>
        <i x="24" s="1"/>
        <i x="27" s="1"/>
        <i x="41" s="1"/>
        <i x="23" s="1"/>
        <i x="6" s="1"/>
        <i x="5" s="1"/>
        <i x="13" s="1"/>
        <i x="16" s="1"/>
        <i x="4" s="1"/>
        <i x="9" s="1"/>
        <i x="34" s="1"/>
        <i x="37" s="1"/>
        <i x="19" s="1"/>
        <i x="8" s="1"/>
        <i x="30" s="1"/>
        <i x="20" s="1"/>
        <i x="18" s="1"/>
        <i x="43" s="1"/>
        <i x="12" s="1"/>
        <i x="17" s="1"/>
        <i x="15" s="1"/>
        <i x="31" s="1"/>
        <i x="2" s="1"/>
        <i x="32" s="1"/>
        <i x="0" s="1"/>
        <i x="42" s="1"/>
        <i x="33" s="1"/>
        <i x="36" s="1"/>
        <i x="35" s="1"/>
        <i x="28" s="1"/>
        <i x="14" s="1"/>
        <i x="39" s="1"/>
        <i x="25" s="1"/>
        <i x="38" s="1"/>
        <i x="7" s="1"/>
        <i x="3" s="1"/>
        <i x="21" s="1"/>
        <i x="40" s="1"/>
        <i x="26" s="1"/>
        <i x="22" s="1"/>
        <i x="29"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_type" xr10:uid="{00000000-0014-0000-FFFF-FFFF01000000}" cache="Slicer_Transaction_type" caption="Transaction_type" rowHeight="234950"/>
  <slicer name="Date" xr10:uid="{00000000-0014-0000-FFFF-FFFF02000000}" cache="Slicer_Date" caption="Date" startItem="1" rowHeight="234950"/>
  <slicer name="Suppliers" xr10:uid="{9BC04B4C-E682-4523-A593-88EEFB9A4D79}" cache="Slicer_Suppliers" caption="Suppliers" rowHeight="234950"/>
  <slicer name="Expense Type" xr10:uid="{4CF6015C-2F0D-4842-A018-0E6F231823BE}" cache="Slicer_Expense_Type" caption="Expense Typ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1_2" displayName="Table1_2" ref="A1:I122" tableType="queryTable" totalsRowShown="0">
  <autoFilter ref="A1:I122" xr:uid="{00000000-0009-0000-0100-000002000000}"/>
  <tableColumns count="9">
    <tableColumn id="10" xr3:uid="{00000000-0010-0000-0000-00000A000000}" uniqueName="10" name="Department Family" queryTableFieldId="1" dataDxfId="5"/>
    <tableColumn id="2" xr3:uid="{00000000-0010-0000-0000-000002000000}" uniqueName="2" name="Entity" queryTableFieldId="2" dataDxfId="4"/>
    <tableColumn id="3" xr3:uid="{00000000-0010-0000-0000-000003000000}" uniqueName="3" name="Date" queryTableFieldId="3" dataDxfId="3"/>
    <tableColumn id="4" xr3:uid="{00000000-0010-0000-0000-000004000000}" uniqueName="4" name="Expense Type" queryTableFieldId="4" dataDxfId="2"/>
    <tableColumn id="5" xr3:uid="{00000000-0010-0000-0000-000005000000}" uniqueName="5" name="Expense Area" queryTableFieldId="5" dataDxfId="1"/>
    <tableColumn id="6" xr3:uid="{00000000-0010-0000-0000-000006000000}" uniqueName="6" name="Suppliers" queryTableFieldId="6" dataDxfId="0"/>
    <tableColumn id="7" xr3:uid="{00000000-0010-0000-0000-000007000000}" uniqueName="7" name="Transaction Number" queryTableFieldId="7"/>
    <tableColumn id="8" xr3:uid="{00000000-0010-0000-0000-000008000000}" uniqueName="8" name=" Amount " queryTableFieldId="8"/>
    <tableColumn id="9" xr3:uid="{00000000-0010-0000-0000-000009000000}" uniqueName="9" name="Transaction_typ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2"/>
  <sheetViews>
    <sheetView workbookViewId="0"/>
  </sheetViews>
  <sheetFormatPr defaultRowHeight="14.4" x14ac:dyDescent="0.3"/>
  <sheetData>
    <row r="1" spans="1:8" x14ac:dyDescent="0.3">
      <c r="A1" t="s">
        <v>0</v>
      </c>
      <c r="B1" t="s">
        <v>1</v>
      </c>
      <c r="C1" t="s">
        <v>2</v>
      </c>
      <c r="D1" t="s">
        <v>3</v>
      </c>
      <c r="E1" t="s">
        <v>4</v>
      </c>
      <c r="G1" t="s">
        <v>5</v>
      </c>
      <c r="H1" t="s">
        <v>6</v>
      </c>
    </row>
    <row r="2" spans="1:8" x14ac:dyDescent="0.3">
      <c r="A2" t="s">
        <v>7</v>
      </c>
      <c r="B2" t="s">
        <v>8</v>
      </c>
      <c r="C2" s="1">
        <v>45200</v>
      </c>
      <c r="D2" t="s">
        <v>9</v>
      </c>
      <c r="E2" t="s">
        <v>10</v>
      </c>
      <c r="F2" t="s">
        <v>11</v>
      </c>
      <c r="G2">
        <v>695464</v>
      </c>
      <c r="H2" s="2">
        <v>385386.29</v>
      </c>
    </row>
    <row r="3" spans="1:8" x14ac:dyDescent="0.3">
      <c r="A3" t="s">
        <v>7</v>
      </c>
      <c r="B3" t="s">
        <v>8</v>
      </c>
      <c r="C3" s="1">
        <v>45200</v>
      </c>
      <c r="D3" t="s">
        <v>9</v>
      </c>
      <c r="E3" t="s">
        <v>10</v>
      </c>
      <c r="F3" t="s">
        <v>11</v>
      </c>
      <c r="G3">
        <v>708245</v>
      </c>
      <c r="H3" s="2">
        <v>385386.29</v>
      </c>
    </row>
    <row r="4" spans="1:8" x14ac:dyDescent="0.3">
      <c r="A4" t="s">
        <v>7</v>
      </c>
      <c r="B4" t="s">
        <v>8</v>
      </c>
      <c r="C4" s="1">
        <v>45200</v>
      </c>
      <c r="D4" t="s">
        <v>12</v>
      </c>
      <c r="E4" t="s">
        <v>13</v>
      </c>
      <c r="F4" t="s">
        <v>14</v>
      </c>
      <c r="G4">
        <v>714511</v>
      </c>
      <c r="H4" s="2">
        <v>226242.14</v>
      </c>
    </row>
    <row r="5" spans="1:8" x14ac:dyDescent="0.3">
      <c r="A5" t="s">
        <v>7</v>
      </c>
      <c r="B5" t="s">
        <v>8</v>
      </c>
      <c r="C5" s="1">
        <v>45224</v>
      </c>
      <c r="D5" t="s">
        <v>15</v>
      </c>
      <c r="E5" t="s">
        <v>16</v>
      </c>
      <c r="F5" t="s">
        <v>17</v>
      </c>
      <c r="G5">
        <v>717653</v>
      </c>
      <c r="H5" s="2">
        <v>85177.67</v>
      </c>
    </row>
    <row r="6" spans="1:8" x14ac:dyDescent="0.3">
      <c r="A6" t="s">
        <v>7</v>
      </c>
      <c r="B6" t="s">
        <v>8</v>
      </c>
      <c r="C6" s="1">
        <v>45200</v>
      </c>
      <c r="D6" t="s">
        <v>18</v>
      </c>
      <c r="E6" t="s">
        <v>19</v>
      </c>
      <c r="F6" t="s">
        <v>20</v>
      </c>
      <c r="G6">
        <v>721483</v>
      </c>
      <c r="H6" s="2">
        <v>39447.599999999999</v>
      </c>
    </row>
    <row r="7" spans="1:8" x14ac:dyDescent="0.3">
      <c r="A7" t="s">
        <v>7</v>
      </c>
      <c r="B7" t="s">
        <v>8</v>
      </c>
      <c r="C7" s="1">
        <v>45200</v>
      </c>
      <c r="D7" t="s">
        <v>21</v>
      </c>
      <c r="E7" t="s">
        <v>22</v>
      </c>
      <c r="F7" t="s">
        <v>23</v>
      </c>
      <c r="G7">
        <v>723104</v>
      </c>
      <c r="H7" s="2">
        <v>26400</v>
      </c>
    </row>
    <row r="8" spans="1:8" x14ac:dyDescent="0.3">
      <c r="A8" t="s">
        <v>7</v>
      </c>
      <c r="B8" t="s">
        <v>8</v>
      </c>
      <c r="C8" s="1">
        <v>45224</v>
      </c>
      <c r="D8" t="s">
        <v>24</v>
      </c>
      <c r="E8" t="s">
        <v>13</v>
      </c>
      <c r="F8" t="s">
        <v>25</v>
      </c>
      <c r="G8">
        <v>724770</v>
      </c>
      <c r="H8" s="2">
        <v>75600</v>
      </c>
    </row>
    <row r="9" spans="1:8" x14ac:dyDescent="0.3">
      <c r="A9" t="s">
        <v>7</v>
      </c>
      <c r="B9" t="s">
        <v>8</v>
      </c>
      <c r="C9" s="1">
        <v>45224</v>
      </c>
      <c r="D9" t="s">
        <v>15</v>
      </c>
      <c r="E9" t="s">
        <v>16</v>
      </c>
      <c r="F9" t="s">
        <v>17</v>
      </c>
      <c r="G9">
        <v>725226</v>
      </c>
      <c r="H9" s="2">
        <v>-85177.67</v>
      </c>
    </row>
    <row r="10" spans="1:8" x14ac:dyDescent="0.3">
      <c r="A10" t="s">
        <v>7</v>
      </c>
      <c r="B10" t="s">
        <v>8</v>
      </c>
      <c r="C10" s="1">
        <v>45203</v>
      </c>
      <c r="D10" t="s">
        <v>26</v>
      </c>
      <c r="E10" t="s">
        <v>27</v>
      </c>
      <c r="F10" t="s">
        <v>28</v>
      </c>
      <c r="G10">
        <v>728829</v>
      </c>
      <c r="H10" s="2">
        <v>26970</v>
      </c>
    </row>
    <row r="11" spans="1:8" x14ac:dyDescent="0.3">
      <c r="A11" t="s">
        <v>7</v>
      </c>
      <c r="B11" t="s">
        <v>8</v>
      </c>
      <c r="C11" s="1">
        <v>45200</v>
      </c>
      <c r="D11" t="s">
        <v>29</v>
      </c>
      <c r="E11" t="s">
        <v>30</v>
      </c>
      <c r="F11" t="s">
        <v>31</v>
      </c>
      <c r="G11">
        <v>729278</v>
      </c>
      <c r="H11" s="2">
        <v>51456.6</v>
      </c>
    </row>
    <row r="12" spans="1:8" x14ac:dyDescent="0.3">
      <c r="A12" t="s">
        <v>7</v>
      </c>
      <c r="B12" t="s">
        <v>8</v>
      </c>
      <c r="C12" s="1">
        <v>45224</v>
      </c>
      <c r="D12" t="s">
        <v>24</v>
      </c>
      <c r="E12" t="s">
        <v>13</v>
      </c>
      <c r="F12" t="s">
        <v>25</v>
      </c>
      <c r="G12">
        <v>729732</v>
      </c>
      <c r="H12" s="2">
        <v>53610</v>
      </c>
    </row>
    <row r="13" spans="1:8" x14ac:dyDescent="0.3">
      <c r="A13" t="s">
        <v>7</v>
      </c>
      <c r="B13" t="s">
        <v>8</v>
      </c>
      <c r="C13" s="1">
        <v>45224</v>
      </c>
      <c r="D13" t="s">
        <v>24</v>
      </c>
      <c r="E13" t="s">
        <v>13</v>
      </c>
      <c r="F13" t="s">
        <v>25</v>
      </c>
      <c r="G13">
        <v>732569</v>
      </c>
      <c r="H13" s="2">
        <v>129168.77</v>
      </c>
    </row>
    <row r="14" spans="1:8" x14ac:dyDescent="0.3">
      <c r="A14" t="s">
        <v>7</v>
      </c>
      <c r="B14" t="s">
        <v>8</v>
      </c>
      <c r="C14" s="1">
        <v>45203</v>
      </c>
      <c r="D14" t="s">
        <v>32</v>
      </c>
      <c r="E14" t="s">
        <v>33</v>
      </c>
      <c r="F14" t="s">
        <v>34</v>
      </c>
      <c r="G14">
        <v>732977</v>
      </c>
      <c r="H14" s="2">
        <v>27792</v>
      </c>
    </row>
    <row r="15" spans="1:8" x14ac:dyDescent="0.3">
      <c r="A15" t="s">
        <v>7</v>
      </c>
      <c r="B15" t="s">
        <v>8</v>
      </c>
      <c r="C15" s="1">
        <v>45210</v>
      </c>
      <c r="D15" t="s">
        <v>35</v>
      </c>
      <c r="E15" t="s">
        <v>27</v>
      </c>
      <c r="F15" t="s">
        <v>36</v>
      </c>
      <c r="G15">
        <v>733888</v>
      </c>
      <c r="H15" s="2">
        <v>82656</v>
      </c>
    </row>
    <row r="16" spans="1:8" x14ac:dyDescent="0.3">
      <c r="A16" t="s">
        <v>7</v>
      </c>
      <c r="B16" t="s">
        <v>8</v>
      </c>
      <c r="C16" s="1">
        <v>45210</v>
      </c>
      <c r="D16" t="s">
        <v>35</v>
      </c>
      <c r="E16" t="s">
        <v>27</v>
      </c>
      <c r="F16" t="s">
        <v>36</v>
      </c>
      <c r="G16">
        <v>733889</v>
      </c>
      <c r="H16" s="2">
        <v>54000</v>
      </c>
    </row>
    <row r="17" spans="1:8" x14ac:dyDescent="0.3">
      <c r="A17" t="s">
        <v>7</v>
      </c>
      <c r="B17" t="s">
        <v>8</v>
      </c>
      <c r="C17" s="1">
        <v>45210</v>
      </c>
      <c r="D17" t="s">
        <v>35</v>
      </c>
      <c r="E17" t="s">
        <v>27</v>
      </c>
      <c r="F17" t="s">
        <v>36</v>
      </c>
      <c r="G17">
        <v>733891</v>
      </c>
      <c r="H17" s="2">
        <v>-136656</v>
      </c>
    </row>
    <row r="18" spans="1:8" x14ac:dyDescent="0.3">
      <c r="A18" t="s">
        <v>7</v>
      </c>
      <c r="B18" t="s">
        <v>8</v>
      </c>
      <c r="C18" s="1">
        <v>45224</v>
      </c>
      <c r="D18" t="s">
        <v>15</v>
      </c>
      <c r="E18" t="s">
        <v>16</v>
      </c>
      <c r="F18" t="s">
        <v>17</v>
      </c>
      <c r="G18">
        <v>734013</v>
      </c>
      <c r="H18" s="2">
        <v>-259598</v>
      </c>
    </row>
    <row r="19" spans="1:8" x14ac:dyDescent="0.3">
      <c r="A19" t="s">
        <v>7</v>
      </c>
      <c r="B19" t="s">
        <v>8</v>
      </c>
      <c r="C19" s="1">
        <v>45224</v>
      </c>
      <c r="D19" t="s">
        <v>15</v>
      </c>
      <c r="E19" t="s">
        <v>16</v>
      </c>
      <c r="F19" t="s">
        <v>17</v>
      </c>
      <c r="G19">
        <v>734014</v>
      </c>
      <c r="H19" s="2">
        <v>-451545.59999999998</v>
      </c>
    </row>
    <row r="20" spans="1:8" x14ac:dyDescent="0.3">
      <c r="A20" t="s">
        <v>7</v>
      </c>
      <c r="B20" t="s">
        <v>8</v>
      </c>
      <c r="C20" s="1">
        <v>45203</v>
      </c>
      <c r="D20" t="s">
        <v>18</v>
      </c>
      <c r="E20" t="s">
        <v>37</v>
      </c>
      <c r="F20" t="s">
        <v>20</v>
      </c>
      <c r="G20">
        <v>736196</v>
      </c>
      <c r="H20" s="2">
        <v>31870.799999999999</v>
      </c>
    </row>
    <row r="21" spans="1:8" x14ac:dyDescent="0.3">
      <c r="A21" t="s">
        <v>7</v>
      </c>
      <c r="B21" t="s">
        <v>8</v>
      </c>
      <c r="C21" s="1">
        <v>45203</v>
      </c>
      <c r="D21" t="s">
        <v>18</v>
      </c>
      <c r="E21" t="s">
        <v>38</v>
      </c>
      <c r="F21" t="s">
        <v>20</v>
      </c>
      <c r="G21">
        <v>736362</v>
      </c>
      <c r="H21" s="2">
        <v>39244.800000000003</v>
      </c>
    </row>
    <row r="22" spans="1:8" x14ac:dyDescent="0.3">
      <c r="A22" t="s">
        <v>7</v>
      </c>
      <c r="B22" t="s">
        <v>8</v>
      </c>
      <c r="C22" s="1">
        <v>45224</v>
      </c>
      <c r="D22" t="s">
        <v>18</v>
      </c>
      <c r="E22" t="s">
        <v>19</v>
      </c>
      <c r="F22" t="s">
        <v>20</v>
      </c>
      <c r="G22">
        <v>736363</v>
      </c>
      <c r="H22" s="2">
        <v>38625.599999999999</v>
      </c>
    </row>
    <row r="23" spans="1:8" x14ac:dyDescent="0.3">
      <c r="A23" t="s">
        <v>7</v>
      </c>
      <c r="B23" t="s">
        <v>8</v>
      </c>
      <c r="C23" s="1">
        <v>45203</v>
      </c>
      <c r="D23" t="s">
        <v>39</v>
      </c>
      <c r="E23" t="s">
        <v>40</v>
      </c>
      <c r="F23" t="s">
        <v>41</v>
      </c>
      <c r="G23">
        <v>736999</v>
      </c>
      <c r="H23" s="2">
        <v>28405.200000000001</v>
      </c>
    </row>
    <row r="24" spans="1:8" x14ac:dyDescent="0.3">
      <c r="A24" t="s">
        <v>7</v>
      </c>
      <c r="B24" t="s">
        <v>8</v>
      </c>
      <c r="C24" s="1">
        <v>45217</v>
      </c>
      <c r="D24" t="s">
        <v>42</v>
      </c>
      <c r="E24" t="s">
        <v>43</v>
      </c>
      <c r="F24" t="s">
        <v>44</v>
      </c>
      <c r="G24">
        <v>737515</v>
      </c>
      <c r="H24" s="2">
        <v>34875.879999999997</v>
      </c>
    </row>
    <row r="25" spans="1:8" x14ac:dyDescent="0.3">
      <c r="A25" t="s">
        <v>7</v>
      </c>
      <c r="B25" t="s">
        <v>8</v>
      </c>
      <c r="C25" s="1">
        <v>45223</v>
      </c>
      <c r="D25" t="s">
        <v>45</v>
      </c>
      <c r="E25" t="s">
        <v>46</v>
      </c>
      <c r="F25" t="s">
        <v>47</v>
      </c>
      <c r="G25">
        <v>737927</v>
      </c>
      <c r="H25" s="2">
        <v>28443</v>
      </c>
    </row>
    <row r="26" spans="1:8" x14ac:dyDescent="0.3">
      <c r="A26" t="s">
        <v>7</v>
      </c>
      <c r="B26" t="s">
        <v>8</v>
      </c>
      <c r="C26" s="1">
        <v>45210</v>
      </c>
      <c r="D26" t="s">
        <v>15</v>
      </c>
      <c r="E26" t="s">
        <v>48</v>
      </c>
      <c r="F26" t="s">
        <v>49</v>
      </c>
      <c r="G26">
        <v>738336</v>
      </c>
      <c r="H26" s="2">
        <v>1239214.71</v>
      </c>
    </row>
    <row r="27" spans="1:8" x14ac:dyDescent="0.3">
      <c r="A27" t="s">
        <v>7</v>
      </c>
      <c r="B27" t="s">
        <v>8</v>
      </c>
      <c r="C27" s="1">
        <v>45217</v>
      </c>
      <c r="D27" t="s">
        <v>18</v>
      </c>
      <c r="E27" t="s">
        <v>50</v>
      </c>
      <c r="F27" t="s">
        <v>51</v>
      </c>
      <c r="G27">
        <v>738424</v>
      </c>
      <c r="H27" s="2">
        <v>145198.79999999999</v>
      </c>
    </row>
    <row r="28" spans="1:8" x14ac:dyDescent="0.3">
      <c r="A28" t="s">
        <v>7</v>
      </c>
      <c r="B28" t="s">
        <v>8</v>
      </c>
      <c r="C28" s="1">
        <v>45200</v>
      </c>
      <c r="D28" t="s">
        <v>52</v>
      </c>
      <c r="E28" t="s">
        <v>53</v>
      </c>
      <c r="F28" t="s">
        <v>54</v>
      </c>
      <c r="G28">
        <v>738484</v>
      </c>
      <c r="H28" s="2">
        <v>42382.080000000002</v>
      </c>
    </row>
    <row r="29" spans="1:8" x14ac:dyDescent="0.3">
      <c r="A29" t="s">
        <v>7</v>
      </c>
      <c r="B29" t="s">
        <v>8</v>
      </c>
      <c r="C29" s="1">
        <v>45200</v>
      </c>
      <c r="D29" t="s">
        <v>52</v>
      </c>
      <c r="E29" t="s">
        <v>13</v>
      </c>
      <c r="F29" t="s">
        <v>55</v>
      </c>
      <c r="G29">
        <v>738502</v>
      </c>
      <c r="H29" s="2">
        <v>47280</v>
      </c>
    </row>
    <row r="30" spans="1:8" x14ac:dyDescent="0.3">
      <c r="A30" t="s">
        <v>7</v>
      </c>
      <c r="B30" t="s">
        <v>8</v>
      </c>
      <c r="C30" s="1">
        <v>45203</v>
      </c>
      <c r="D30" t="s">
        <v>56</v>
      </c>
      <c r="E30" t="s">
        <v>57</v>
      </c>
      <c r="F30" t="s">
        <v>58</v>
      </c>
      <c r="G30">
        <v>738525</v>
      </c>
      <c r="H30" s="2">
        <v>25172.400000000001</v>
      </c>
    </row>
    <row r="31" spans="1:8" x14ac:dyDescent="0.3">
      <c r="A31" t="s">
        <v>7</v>
      </c>
      <c r="B31" t="s">
        <v>8</v>
      </c>
      <c r="C31" s="1">
        <v>45224</v>
      </c>
      <c r="D31" t="s">
        <v>59</v>
      </c>
      <c r="E31" t="s">
        <v>60</v>
      </c>
      <c r="F31" t="s">
        <v>61</v>
      </c>
      <c r="G31">
        <v>738633</v>
      </c>
      <c r="H31" s="2">
        <v>29202.73</v>
      </c>
    </row>
    <row r="32" spans="1:8" x14ac:dyDescent="0.3">
      <c r="A32" t="s">
        <v>7</v>
      </c>
      <c r="B32" t="s">
        <v>8</v>
      </c>
      <c r="C32" s="1">
        <v>45203</v>
      </c>
      <c r="D32" t="s">
        <v>62</v>
      </c>
      <c r="E32" t="s">
        <v>63</v>
      </c>
      <c r="F32" t="s">
        <v>64</v>
      </c>
      <c r="G32">
        <v>738638</v>
      </c>
      <c r="H32" s="2">
        <v>776834.21</v>
      </c>
    </row>
    <row r="33" spans="1:8" x14ac:dyDescent="0.3">
      <c r="A33" t="s">
        <v>7</v>
      </c>
      <c r="B33" t="s">
        <v>8</v>
      </c>
      <c r="C33" s="1">
        <v>45224</v>
      </c>
      <c r="D33" t="s">
        <v>24</v>
      </c>
      <c r="E33" t="s">
        <v>13</v>
      </c>
      <c r="F33" t="s">
        <v>65</v>
      </c>
      <c r="G33">
        <v>738759</v>
      </c>
      <c r="H33" s="2">
        <v>101641.31</v>
      </c>
    </row>
    <row r="34" spans="1:8" x14ac:dyDescent="0.3">
      <c r="A34" t="s">
        <v>7</v>
      </c>
      <c r="B34" t="s">
        <v>8</v>
      </c>
      <c r="C34" s="1">
        <v>45203</v>
      </c>
      <c r="D34" t="s">
        <v>66</v>
      </c>
      <c r="E34" t="s">
        <v>67</v>
      </c>
      <c r="F34" t="s">
        <v>68</v>
      </c>
      <c r="G34">
        <v>738784</v>
      </c>
      <c r="H34" s="2">
        <v>37691.06</v>
      </c>
    </row>
    <row r="35" spans="1:8" x14ac:dyDescent="0.3">
      <c r="A35" t="s">
        <v>7</v>
      </c>
      <c r="B35" t="s">
        <v>8</v>
      </c>
      <c r="C35" s="1">
        <v>45203</v>
      </c>
      <c r="D35" t="s">
        <v>69</v>
      </c>
      <c r="E35" t="s">
        <v>70</v>
      </c>
      <c r="F35" t="s">
        <v>58</v>
      </c>
      <c r="G35">
        <v>739021</v>
      </c>
      <c r="H35" s="2">
        <v>87513.85</v>
      </c>
    </row>
    <row r="36" spans="1:8" x14ac:dyDescent="0.3">
      <c r="A36" t="s">
        <v>7</v>
      </c>
      <c r="B36" t="s">
        <v>8</v>
      </c>
      <c r="C36" s="1">
        <v>45203</v>
      </c>
      <c r="D36" t="s">
        <v>71</v>
      </c>
      <c r="E36" t="s">
        <v>72</v>
      </c>
      <c r="F36" t="s">
        <v>73</v>
      </c>
      <c r="G36">
        <v>739026</v>
      </c>
      <c r="H36" s="2">
        <v>31808.35</v>
      </c>
    </row>
    <row r="37" spans="1:8" x14ac:dyDescent="0.3">
      <c r="A37" t="s">
        <v>7</v>
      </c>
      <c r="B37" t="s">
        <v>8</v>
      </c>
      <c r="C37" s="1">
        <v>45224</v>
      </c>
      <c r="D37" t="s">
        <v>74</v>
      </c>
      <c r="E37" t="s">
        <v>75</v>
      </c>
      <c r="F37" t="s">
        <v>76</v>
      </c>
      <c r="G37">
        <v>739059</v>
      </c>
      <c r="H37" s="2">
        <v>121034.76</v>
      </c>
    </row>
    <row r="38" spans="1:8" x14ac:dyDescent="0.3">
      <c r="A38" t="s">
        <v>7</v>
      </c>
      <c r="B38" t="s">
        <v>8</v>
      </c>
      <c r="C38" s="1">
        <v>45216</v>
      </c>
      <c r="D38" t="s">
        <v>18</v>
      </c>
      <c r="E38" t="s">
        <v>77</v>
      </c>
      <c r="F38" t="s">
        <v>78</v>
      </c>
      <c r="G38">
        <v>739081</v>
      </c>
      <c r="H38" s="2">
        <v>137498.4</v>
      </c>
    </row>
    <row r="39" spans="1:8" x14ac:dyDescent="0.3">
      <c r="A39" t="s">
        <v>7</v>
      </c>
      <c r="B39" t="s">
        <v>8</v>
      </c>
      <c r="C39" s="1">
        <v>45216</v>
      </c>
      <c r="D39" t="s">
        <v>79</v>
      </c>
      <c r="E39" t="s">
        <v>77</v>
      </c>
      <c r="F39" t="s">
        <v>78</v>
      </c>
      <c r="G39">
        <v>739081</v>
      </c>
      <c r="H39" s="2">
        <v>78804</v>
      </c>
    </row>
    <row r="40" spans="1:8" x14ac:dyDescent="0.3">
      <c r="A40" t="s">
        <v>7</v>
      </c>
      <c r="B40" t="s">
        <v>8</v>
      </c>
      <c r="C40" s="1">
        <v>45217</v>
      </c>
      <c r="D40" t="s">
        <v>18</v>
      </c>
      <c r="E40" t="s">
        <v>77</v>
      </c>
      <c r="F40" t="s">
        <v>78</v>
      </c>
      <c r="G40">
        <v>739082</v>
      </c>
      <c r="H40" s="2">
        <v>50996.4</v>
      </c>
    </row>
    <row r="41" spans="1:8" x14ac:dyDescent="0.3">
      <c r="A41" t="s">
        <v>7</v>
      </c>
      <c r="B41" t="s">
        <v>8</v>
      </c>
      <c r="C41" s="1">
        <v>45203</v>
      </c>
      <c r="D41" t="s">
        <v>80</v>
      </c>
      <c r="E41" t="s">
        <v>81</v>
      </c>
      <c r="F41" t="s">
        <v>82</v>
      </c>
      <c r="G41">
        <v>739106</v>
      </c>
      <c r="H41" s="2">
        <v>42632.81</v>
      </c>
    </row>
    <row r="42" spans="1:8" x14ac:dyDescent="0.3">
      <c r="A42" t="s">
        <v>7</v>
      </c>
      <c r="B42" t="s">
        <v>8</v>
      </c>
      <c r="C42" s="1">
        <v>45224</v>
      </c>
      <c r="D42" t="s">
        <v>18</v>
      </c>
      <c r="E42" t="s">
        <v>83</v>
      </c>
      <c r="F42" t="s">
        <v>84</v>
      </c>
      <c r="G42">
        <v>739155</v>
      </c>
      <c r="H42" s="2">
        <v>73590.3</v>
      </c>
    </row>
    <row r="43" spans="1:8" x14ac:dyDescent="0.3">
      <c r="A43" t="s">
        <v>7</v>
      </c>
      <c r="B43" t="s">
        <v>8</v>
      </c>
      <c r="C43" s="1">
        <v>45224</v>
      </c>
      <c r="D43" t="s">
        <v>79</v>
      </c>
      <c r="E43" t="s">
        <v>83</v>
      </c>
      <c r="F43" t="s">
        <v>84</v>
      </c>
      <c r="G43">
        <v>739155</v>
      </c>
      <c r="H43" s="2">
        <v>27092.400000000001</v>
      </c>
    </row>
    <row r="44" spans="1:8" x14ac:dyDescent="0.3">
      <c r="A44" t="s">
        <v>7</v>
      </c>
      <c r="B44" t="s">
        <v>8</v>
      </c>
      <c r="C44" s="1">
        <v>45217</v>
      </c>
      <c r="D44" t="s">
        <v>18</v>
      </c>
      <c r="E44" t="s">
        <v>85</v>
      </c>
      <c r="F44" t="s">
        <v>86</v>
      </c>
      <c r="G44">
        <v>739236</v>
      </c>
      <c r="H44" s="2">
        <v>82500</v>
      </c>
    </row>
    <row r="45" spans="1:8" x14ac:dyDescent="0.3">
      <c r="A45" t="s">
        <v>7</v>
      </c>
      <c r="B45" t="s">
        <v>8</v>
      </c>
      <c r="C45" s="1">
        <v>45217</v>
      </c>
      <c r="D45" t="s">
        <v>35</v>
      </c>
      <c r="E45" t="s">
        <v>87</v>
      </c>
      <c r="F45" t="s">
        <v>88</v>
      </c>
      <c r="G45">
        <v>739289</v>
      </c>
      <c r="H45" s="2">
        <v>25200</v>
      </c>
    </row>
    <row r="46" spans="1:8" x14ac:dyDescent="0.3">
      <c r="A46" t="s">
        <v>7</v>
      </c>
      <c r="B46" t="s">
        <v>8</v>
      </c>
      <c r="C46" s="1">
        <v>45203</v>
      </c>
      <c r="D46" t="s">
        <v>89</v>
      </c>
      <c r="E46" t="s">
        <v>90</v>
      </c>
      <c r="F46" t="s">
        <v>25</v>
      </c>
      <c r="G46">
        <v>739381</v>
      </c>
      <c r="H46" s="2">
        <v>120000</v>
      </c>
    </row>
    <row r="47" spans="1:8" x14ac:dyDescent="0.3">
      <c r="A47" t="s">
        <v>7</v>
      </c>
      <c r="B47" t="s">
        <v>8</v>
      </c>
      <c r="C47" s="1">
        <v>45203</v>
      </c>
      <c r="D47" t="s">
        <v>91</v>
      </c>
      <c r="E47" t="s">
        <v>92</v>
      </c>
      <c r="F47" t="s">
        <v>93</v>
      </c>
      <c r="G47">
        <v>739534</v>
      </c>
      <c r="H47" s="2">
        <v>50552.4</v>
      </c>
    </row>
    <row r="48" spans="1:8" x14ac:dyDescent="0.3">
      <c r="A48" t="s">
        <v>7</v>
      </c>
      <c r="B48" t="s">
        <v>8</v>
      </c>
      <c r="C48" s="1">
        <v>45203</v>
      </c>
      <c r="D48" t="s">
        <v>15</v>
      </c>
      <c r="E48" t="s">
        <v>16</v>
      </c>
      <c r="F48" t="s">
        <v>94</v>
      </c>
      <c r="G48">
        <v>739659</v>
      </c>
      <c r="H48" s="2">
        <v>214807</v>
      </c>
    </row>
    <row r="49" spans="1:8" x14ac:dyDescent="0.3">
      <c r="A49" t="s">
        <v>7</v>
      </c>
      <c r="B49" t="s">
        <v>8</v>
      </c>
      <c r="C49" s="1">
        <v>45203</v>
      </c>
      <c r="D49" t="s">
        <v>15</v>
      </c>
      <c r="E49" t="s">
        <v>16</v>
      </c>
      <c r="F49" t="s">
        <v>94</v>
      </c>
      <c r="G49">
        <v>739660</v>
      </c>
      <c r="H49" s="2">
        <v>280050</v>
      </c>
    </row>
    <row r="50" spans="1:8" x14ac:dyDescent="0.3">
      <c r="A50" t="s">
        <v>7</v>
      </c>
      <c r="B50" t="s">
        <v>8</v>
      </c>
      <c r="C50" s="1">
        <v>45200</v>
      </c>
      <c r="D50" t="s">
        <v>66</v>
      </c>
      <c r="E50" t="s">
        <v>95</v>
      </c>
      <c r="F50" t="s">
        <v>96</v>
      </c>
      <c r="G50">
        <v>739851</v>
      </c>
      <c r="H50" s="2">
        <v>151568.9</v>
      </c>
    </row>
    <row r="51" spans="1:8" x14ac:dyDescent="0.3">
      <c r="A51" t="s">
        <v>7</v>
      </c>
      <c r="B51" t="s">
        <v>8</v>
      </c>
      <c r="C51" s="1">
        <v>45200</v>
      </c>
      <c r="D51" t="s">
        <v>97</v>
      </c>
      <c r="E51" t="s">
        <v>98</v>
      </c>
      <c r="F51" t="s">
        <v>99</v>
      </c>
      <c r="G51">
        <v>739892</v>
      </c>
      <c r="H51" s="2">
        <v>39224.82</v>
      </c>
    </row>
    <row r="52" spans="1:8" x14ac:dyDescent="0.3">
      <c r="A52" t="s">
        <v>7</v>
      </c>
      <c r="B52" t="s">
        <v>8</v>
      </c>
      <c r="C52" s="1">
        <v>45200</v>
      </c>
      <c r="D52" t="s">
        <v>97</v>
      </c>
      <c r="E52" t="s">
        <v>98</v>
      </c>
      <c r="F52" t="s">
        <v>99</v>
      </c>
      <c r="G52">
        <v>739893</v>
      </c>
      <c r="H52" s="2">
        <v>35796.769999999997</v>
      </c>
    </row>
    <row r="53" spans="1:8" x14ac:dyDescent="0.3">
      <c r="A53" t="s">
        <v>7</v>
      </c>
      <c r="B53" t="s">
        <v>8</v>
      </c>
      <c r="C53" s="1">
        <v>45203</v>
      </c>
      <c r="D53" t="s">
        <v>97</v>
      </c>
      <c r="E53" t="s">
        <v>98</v>
      </c>
      <c r="F53" t="s">
        <v>99</v>
      </c>
      <c r="G53">
        <v>739894</v>
      </c>
      <c r="H53" s="2">
        <v>39389.46</v>
      </c>
    </row>
    <row r="54" spans="1:8" x14ac:dyDescent="0.3">
      <c r="A54" t="s">
        <v>7</v>
      </c>
      <c r="B54" t="s">
        <v>8</v>
      </c>
      <c r="C54" s="1">
        <v>45200</v>
      </c>
      <c r="D54" t="s">
        <v>100</v>
      </c>
      <c r="E54" t="s">
        <v>101</v>
      </c>
      <c r="F54" t="s">
        <v>102</v>
      </c>
      <c r="G54">
        <v>739903</v>
      </c>
      <c r="H54" s="2">
        <v>54945</v>
      </c>
    </row>
    <row r="55" spans="1:8" x14ac:dyDescent="0.3">
      <c r="A55" t="s">
        <v>7</v>
      </c>
      <c r="B55" t="s">
        <v>8</v>
      </c>
      <c r="C55" s="1">
        <v>45200</v>
      </c>
      <c r="D55" t="s">
        <v>100</v>
      </c>
      <c r="E55" t="s">
        <v>101</v>
      </c>
      <c r="F55" t="s">
        <v>102</v>
      </c>
      <c r="G55">
        <v>739904</v>
      </c>
      <c r="H55" s="2">
        <v>42000</v>
      </c>
    </row>
    <row r="56" spans="1:8" x14ac:dyDescent="0.3">
      <c r="A56" t="s">
        <v>7</v>
      </c>
      <c r="B56" t="s">
        <v>8</v>
      </c>
      <c r="C56" s="1">
        <v>45210</v>
      </c>
      <c r="D56" t="s">
        <v>103</v>
      </c>
      <c r="E56" t="s">
        <v>104</v>
      </c>
      <c r="F56" t="s">
        <v>105</v>
      </c>
      <c r="G56">
        <v>739996</v>
      </c>
      <c r="H56" s="2">
        <v>36618</v>
      </c>
    </row>
    <row r="57" spans="1:8" x14ac:dyDescent="0.3">
      <c r="A57" t="s">
        <v>7</v>
      </c>
      <c r="B57" t="s">
        <v>8</v>
      </c>
      <c r="C57" s="1">
        <v>45210</v>
      </c>
      <c r="D57" t="s">
        <v>106</v>
      </c>
      <c r="E57" t="s">
        <v>107</v>
      </c>
      <c r="F57" t="s">
        <v>108</v>
      </c>
      <c r="G57">
        <v>740235</v>
      </c>
      <c r="H57" s="2">
        <v>84172.95</v>
      </c>
    </row>
    <row r="58" spans="1:8" x14ac:dyDescent="0.3">
      <c r="A58" t="s">
        <v>7</v>
      </c>
      <c r="B58" t="s">
        <v>8</v>
      </c>
      <c r="C58" s="1">
        <v>45210</v>
      </c>
      <c r="D58" t="s">
        <v>109</v>
      </c>
      <c r="E58" t="s">
        <v>110</v>
      </c>
      <c r="F58" t="s">
        <v>111</v>
      </c>
      <c r="G58">
        <v>740253</v>
      </c>
      <c r="H58" s="2">
        <v>26025.5</v>
      </c>
    </row>
    <row r="59" spans="1:8" x14ac:dyDescent="0.3">
      <c r="A59" t="s">
        <v>7</v>
      </c>
      <c r="B59" t="s">
        <v>8</v>
      </c>
      <c r="C59" s="1">
        <v>45210</v>
      </c>
      <c r="D59" t="s">
        <v>109</v>
      </c>
      <c r="E59" t="s">
        <v>110</v>
      </c>
      <c r="F59" t="s">
        <v>111</v>
      </c>
      <c r="G59">
        <v>740254</v>
      </c>
      <c r="H59" s="2">
        <v>41964.59</v>
      </c>
    </row>
    <row r="60" spans="1:8" x14ac:dyDescent="0.3">
      <c r="A60" t="s">
        <v>7</v>
      </c>
      <c r="B60" t="s">
        <v>8</v>
      </c>
      <c r="C60" s="1">
        <v>45200</v>
      </c>
      <c r="D60" t="s">
        <v>112</v>
      </c>
      <c r="E60" t="s">
        <v>13</v>
      </c>
      <c r="F60" t="s">
        <v>113</v>
      </c>
      <c r="G60">
        <v>740289</v>
      </c>
      <c r="H60" s="2">
        <v>57210</v>
      </c>
    </row>
    <row r="61" spans="1:8" x14ac:dyDescent="0.3">
      <c r="A61" t="s">
        <v>7</v>
      </c>
      <c r="B61" t="s">
        <v>8</v>
      </c>
      <c r="C61" s="1">
        <v>45200</v>
      </c>
      <c r="D61" t="s">
        <v>9</v>
      </c>
      <c r="E61" t="s">
        <v>10</v>
      </c>
      <c r="F61" t="s">
        <v>11</v>
      </c>
      <c r="G61">
        <v>740415</v>
      </c>
      <c r="H61" s="2">
        <v>-385386.29</v>
      </c>
    </row>
    <row r="62" spans="1:8" x14ac:dyDescent="0.3">
      <c r="A62" t="s">
        <v>7</v>
      </c>
      <c r="B62" t="s">
        <v>8</v>
      </c>
      <c r="C62" s="1">
        <v>45200</v>
      </c>
      <c r="D62" t="s">
        <v>9</v>
      </c>
      <c r="E62" t="s">
        <v>10</v>
      </c>
      <c r="F62" t="s">
        <v>11</v>
      </c>
      <c r="G62">
        <v>740416</v>
      </c>
      <c r="H62" s="2">
        <v>-385386.29</v>
      </c>
    </row>
    <row r="63" spans="1:8" x14ac:dyDescent="0.3">
      <c r="A63" t="s">
        <v>7</v>
      </c>
      <c r="B63" t="s">
        <v>8</v>
      </c>
      <c r="C63" s="1">
        <v>45203</v>
      </c>
      <c r="D63" t="s">
        <v>114</v>
      </c>
      <c r="E63" t="s">
        <v>115</v>
      </c>
      <c r="F63" t="s">
        <v>116</v>
      </c>
      <c r="G63">
        <v>740699</v>
      </c>
      <c r="H63" s="2">
        <v>486558.88</v>
      </c>
    </row>
    <row r="64" spans="1:8" x14ac:dyDescent="0.3">
      <c r="A64" t="s">
        <v>7</v>
      </c>
      <c r="B64" t="s">
        <v>8</v>
      </c>
      <c r="C64" s="1">
        <v>45203</v>
      </c>
      <c r="D64" t="s">
        <v>114</v>
      </c>
      <c r="E64" t="s">
        <v>117</v>
      </c>
      <c r="F64" t="s">
        <v>116</v>
      </c>
      <c r="G64">
        <v>740699</v>
      </c>
      <c r="H64" s="2">
        <v>110482.86</v>
      </c>
    </row>
    <row r="65" spans="1:8" x14ac:dyDescent="0.3">
      <c r="A65" t="s">
        <v>7</v>
      </c>
      <c r="B65" t="s">
        <v>8</v>
      </c>
      <c r="C65" s="1">
        <v>45203</v>
      </c>
      <c r="D65" t="s">
        <v>118</v>
      </c>
      <c r="E65" t="s">
        <v>115</v>
      </c>
      <c r="F65" t="s">
        <v>116</v>
      </c>
      <c r="G65">
        <v>740699</v>
      </c>
      <c r="H65" s="2">
        <v>195843.48</v>
      </c>
    </row>
    <row r="66" spans="1:8" x14ac:dyDescent="0.3">
      <c r="A66" t="s">
        <v>7</v>
      </c>
      <c r="B66" t="s">
        <v>8</v>
      </c>
      <c r="C66" s="1">
        <v>45203</v>
      </c>
      <c r="D66" t="s">
        <v>118</v>
      </c>
      <c r="E66" t="s">
        <v>117</v>
      </c>
      <c r="F66" t="s">
        <v>116</v>
      </c>
      <c r="G66">
        <v>740699</v>
      </c>
      <c r="H66" s="2">
        <v>319632.90999999997</v>
      </c>
    </row>
    <row r="67" spans="1:8" x14ac:dyDescent="0.3">
      <c r="A67" t="s">
        <v>7</v>
      </c>
      <c r="B67" t="s">
        <v>8</v>
      </c>
      <c r="C67" s="1">
        <v>45217</v>
      </c>
      <c r="D67" t="s">
        <v>15</v>
      </c>
      <c r="E67" t="s">
        <v>48</v>
      </c>
      <c r="F67" t="s">
        <v>49</v>
      </c>
      <c r="G67">
        <v>740975</v>
      </c>
      <c r="H67" s="2">
        <v>309428.03000000003</v>
      </c>
    </row>
    <row r="68" spans="1:8" x14ac:dyDescent="0.3">
      <c r="A68" t="s">
        <v>7</v>
      </c>
      <c r="B68" t="s">
        <v>8</v>
      </c>
      <c r="C68" s="1">
        <v>45210</v>
      </c>
      <c r="D68" t="s">
        <v>71</v>
      </c>
      <c r="E68" t="s">
        <v>72</v>
      </c>
      <c r="F68" t="s">
        <v>119</v>
      </c>
      <c r="G68">
        <v>741003</v>
      </c>
      <c r="H68" s="2">
        <v>34848.01</v>
      </c>
    </row>
    <row r="69" spans="1:8" x14ac:dyDescent="0.3">
      <c r="A69" t="s">
        <v>7</v>
      </c>
      <c r="B69" t="s">
        <v>8</v>
      </c>
      <c r="C69" s="1">
        <v>45217</v>
      </c>
      <c r="D69" t="s">
        <v>120</v>
      </c>
      <c r="E69" t="s">
        <v>121</v>
      </c>
      <c r="F69" t="s">
        <v>122</v>
      </c>
      <c r="G69">
        <v>741410</v>
      </c>
      <c r="H69" s="2">
        <v>57683.21</v>
      </c>
    </row>
    <row r="70" spans="1:8" x14ac:dyDescent="0.3">
      <c r="A70" t="s">
        <v>7</v>
      </c>
      <c r="B70" t="s">
        <v>8</v>
      </c>
      <c r="C70" s="1">
        <v>45224</v>
      </c>
      <c r="D70" t="s">
        <v>62</v>
      </c>
      <c r="E70" t="s">
        <v>123</v>
      </c>
      <c r="F70" t="s">
        <v>124</v>
      </c>
      <c r="G70">
        <v>741417</v>
      </c>
      <c r="H70" s="2">
        <v>31080</v>
      </c>
    </row>
    <row r="71" spans="1:8" x14ac:dyDescent="0.3">
      <c r="A71" t="s">
        <v>7</v>
      </c>
      <c r="B71" t="s">
        <v>8</v>
      </c>
      <c r="C71" s="1">
        <v>45210</v>
      </c>
      <c r="D71" t="s">
        <v>125</v>
      </c>
      <c r="E71" t="s">
        <v>126</v>
      </c>
      <c r="F71" t="s">
        <v>127</v>
      </c>
      <c r="G71">
        <v>741444</v>
      </c>
      <c r="H71" s="2">
        <v>53100</v>
      </c>
    </row>
    <row r="72" spans="1:8" x14ac:dyDescent="0.3">
      <c r="A72" t="s">
        <v>7</v>
      </c>
      <c r="B72" t="s">
        <v>8</v>
      </c>
      <c r="C72" s="1">
        <v>45224</v>
      </c>
      <c r="D72" t="s">
        <v>52</v>
      </c>
      <c r="E72" t="s">
        <v>13</v>
      </c>
      <c r="F72" t="s">
        <v>128</v>
      </c>
      <c r="G72">
        <v>741715</v>
      </c>
      <c r="H72" s="2">
        <v>272297.65999999997</v>
      </c>
    </row>
    <row r="73" spans="1:8" x14ac:dyDescent="0.3">
      <c r="A73" t="s">
        <v>7</v>
      </c>
      <c r="B73" t="s">
        <v>8</v>
      </c>
      <c r="C73" s="1">
        <v>45224</v>
      </c>
      <c r="D73" t="s">
        <v>21</v>
      </c>
      <c r="E73" t="s">
        <v>129</v>
      </c>
      <c r="F73" t="s">
        <v>128</v>
      </c>
      <c r="G73">
        <v>741715</v>
      </c>
      <c r="H73" s="2">
        <v>92926.93</v>
      </c>
    </row>
    <row r="74" spans="1:8" x14ac:dyDescent="0.3">
      <c r="A74" t="s">
        <v>7</v>
      </c>
      <c r="B74" t="s">
        <v>8</v>
      </c>
      <c r="C74" s="1">
        <v>45224</v>
      </c>
      <c r="D74" t="s">
        <v>130</v>
      </c>
      <c r="E74" t="s">
        <v>13</v>
      </c>
      <c r="F74" t="s">
        <v>128</v>
      </c>
      <c r="G74">
        <v>741716</v>
      </c>
      <c r="H74" s="2">
        <v>85364.25</v>
      </c>
    </row>
    <row r="75" spans="1:8" x14ac:dyDescent="0.3">
      <c r="A75" t="s">
        <v>7</v>
      </c>
      <c r="B75" t="s">
        <v>8</v>
      </c>
      <c r="C75" s="1">
        <v>45224</v>
      </c>
      <c r="D75" t="s">
        <v>130</v>
      </c>
      <c r="E75" t="s">
        <v>13</v>
      </c>
      <c r="F75" t="s">
        <v>128</v>
      </c>
      <c r="G75">
        <v>741721</v>
      </c>
      <c r="H75" s="2">
        <v>75014.55</v>
      </c>
    </row>
    <row r="76" spans="1:8" x14ac:dyDescent="0.3">
      <c r="A76" t="s">
        <v>7</v>
      </c>
      <c r="B76" t="s">
        <v>8</v>
      </c>
      <c r="C76" s="1">
        <v>45224</v>
      </c>
      <c r="D76" t="s">
        <v>131</v>
      </c>
      <c r="E76" t="s">
        <v>132</v>
      </c>
      <c r="F76" t="s">
        <v>128</v>
      </c>
      <c r="G76">
        <v>741721</v>
      </c>
      <c r="H76" s="2">
        <v>26672.13</v>
      </c>
    </row>
    <row r="77" spans="1:8" x14ac:dyDescent="0.3">
      <c r="A77" t="s">
        <v>7</v>
      </c>
      <c r="B77" t="s">
        <v>8</v>
      </c>
      <c r="C77" s="1">
        <v>45224</v>
      </c>
      <c r="D77" t="s">
        <v>133</v>
      </c>
      <c r="E77" t="s">
        <v>72</v>
      </c>
      <c r="F77" t="s">
        <v>128</v>
      </c>
      <c r="G77">
        <v>741722</v>
      </c>
      <c r="H77" s="2">
        <v>208327.96</v>
      </c>
    </row>
    <row r="78" spans="1:8" x14ac:dyDescent="0.3">
      <c r="A78" t="s">
        <v>7</v>
      </c>
      <c r="B78" t="s">
        <v>8</v>
      </c>
      <c r="C78" s="1">
        <v>45224</v>
      </c>
      <c r="D78" t="s">
        <v>130</v>
      </c>
      <c r="E78" t="s">
        <v>134</v>
      </c>
      <c r="F78" t="s">
        <v>128</v>
      </c>
      <c r="G78">
        <v>741723</v>
      </c>
      <c r="H78" s="2">
        <v>47495.01</v>
      </c>
    </row>
    <row r="79" spans="1:8" x14ac:dyDescent="0.3">
      <c r="A79" t="s">
        <v>7</v>
      </c>
      <c r="B79" t="s">
        <v>8</v>
      </c>
      <c r="C79" s="1">
        <v>45224</v>
      </c>
      <c r="D79" t="s">
        <v>131</v>
      </c>
      <c r="E79" t="s">
        <v>72</v>
      </c>
      <c r="F79" t="s">
        <v>128</v>
      </c>
      <c r="G79">
        <v>741751</v>
      </c>
      <c r="H79" s="2">
        <v>277776.08</v>
      </c>
    </row>
    <row r="80" spans="1:8" x14ac:dyDescent="0.3">
      <c r="A80" t="s">
        <v>7</v>
      </c>
      <c r="B80" t="s">
        <v>8</v>
      </c>
      <c r="C80" s="1">
        <v>45224</v>
      </c>
      <c r="D80" t="s">
        <v>21</v>
      </c>
      <c r="E80" t="s">
        <v>60</v>
      </c>
      <c r="F80" t="s">
        <v>119</v>
      </c>
      <c r="G80">
        <v>741779</v>
      </c>
      <c r="H80" s="2">
        <v>60909.66</v>
      </c>
    </row>
    <row r="81" spans="1:8" x14ac:dyDescent="0.3">
      <c r="A81" t="s">
        <v>7</v>
      </c>
      <c r="B81" t="s">
        <v>8</v>
      </c>
      <c r="C81" s="1">
        <v>45224</v>
      </c>
      <c r="D81" t="s">
        <v>135</v>
      </c>
      <c r="E81" t="s">
        <v>136</v>
      </c>
      <c r="F81" t="s">
        <v>137</v>
      </c>
      <c r="G81">
        <v>741803</v>
      </c>
      <c r="H81" s="2">
        <v>31644</v>
      </c>
    </row>
    <row r="82" spans="1:8" x14ac:dyDescent="0.3">
      <c r="A82" t="s">
        <v>7</v>
      </c>
      <c r="B82" t="s">
        <v>8</v>
      </c>
      <c r="C82" s="1">
        <v>45203</v>
      </c>
      <c r="D82" t="s">
        <v>56</v>
      </c>
      <c r="E82" t="s">
        <v>57</v>
      </c>
      <c r="F82" t="s">
        <v>58</v>
      </c>
      <c r="G82">
        <v>742078</v>
      </c>
      <c r="H82" s="2">
        <v>29120.400000000001</v>
      </c>
    </row>
    <row r="83" spans="1:8" x14ac:dyDescent="0.3">
      <c r="A83" t="s">
        <v>7</v>
      </c>
      <c r="B83" t="s">
        <v>8</v>
      </c>
      <c r="C83" s="1">
        <v>45224</v>
      </c>
      <c r="D83" t="s">
        <v>133</v>
      </c>
      <c r="E83" t="s">
        <v>30</v>
      </c>
      <c r="F83" t="s">
        <v>138</v>
      </c>
      <c r="G83">
        <v>742170</v>
      </c>
      <c r="H83" s="2">
        <v>110244</v>
      </c>
    </row>
    <row r="84" spans="1:8" x14ac:dyDescent="0.3">
      <c r="A84" t="s">
        <v>7</v>
      </c>
      <c r="B84" t="s">
        <v>8</v>
      </c>
      <c r="C84" s="1">
        <v>45224</v>
      </c>
      <c r="D84" t="s">
        <v>52</v>
      </c>
      <c r="E84" t="s">
        <v>13</v>
      </c>
      <c r="F84" t="s">
        <v>55</v>
      </c>
      <c r="G84">
        <v>742179</v>
      </c>
      <c r="H84" s="2">
        <v>59100</v>
      </c>
    </row>
    <row r="85" spans="1:8" x14ac:dyDescent="0.3">
      <c r="A85" t="s">
        <v>7</v>
      </c>
      <c r="B85" t="s">
        <v>8</v>
      </c>
      <c r="C85" s="1">
        <v>45210</v>
      </c>
      <c r="D85" t="s">
        <v>24</v>
      </c>
      <c r="E85" t="s">
        <v>13</v>
      </c>
      <c r="F85" t="s">
        <v>113</v>
      </c>
      <c r="G85">
        <v>742297</v>
      </c>
      <c r="H85" s="2">
        <v>98171.27</v>
      </c>
    </row>
    <row r="86" spans="1:8" x14ac:dyDescent="0.3">
      <c r="A86" t="s">
        <v>7</v>
      </c>
      <c r="B86" t="s">
        <v>8</v>
      </c>
      <c r="C86" s="1">
        <v>45210</v>
      </c>
      <c r="D86" t="s">
        <v>112</v>
      </c>
      <c r="E86" t="s">
        <v>13</v>
      </c>
      <c r="F86" t="s">
        <v>113</v>
      </c>
      <c r="G86">
        <v>742298</v>
      </c>
      <c r="H86" s="2">
        <v>160558.74</v>
      </c>
    </row>
    <row r="87" spans="1:8" x14ac:dyDescent="0.3">
      <c r="A87" t="s">
        <v>7</v>
      </c>
      <c r="B87" t="s">
        <v>8</v>
      </c>
      <c r="C87" s="1">
        <v>45210</v>
      </c>
      <c r="D87" t="s">
        <v>112</v>
      </c>
      <c r="E87" t="s">
        <v>13</v>
      </c>
      <c r="F87" t="s">
        <v>113</v>
      </c>
      <c r="G87">
        <v>742300</v>
      </c>
      <c r="H87" s="2">
        <v>310314.19</v>
      </c>
    </row>
    <row r="88" spans="1:8" x14ac:dyDescent="0.3">
      <c r="A88" t="s">
        <v>7</v>
      </c>
      <c r="B88" t="s">
        <v>8</v>
      </c>
      <c r="C88" s="1">
        <v>45224</v>
      </c>
      <c r="D88" t="s">
        <v>139</v>
      </c>
      <c r="E88" t="s">
        <v>72</v>
      </c>
      <c r="F88" t="s">
        <v>140</v>
      </c>
      <c r="G88">
        <v>742399</v>
      </c>
      <c r="H88" s="2">
        <v>150289.34</v>
      </c>
    </row>
    <row r="89" spans="1:8" x14ac:dyDescent="0.3">
      <c r="A89" t="s">
        <v>7</v>
      </c>
      <c r="B89" t="s">
        <v>8</v>
      </c>
      <c r="C89" s="1">
        <v>45217</v>
      </c>
      <c r="D89" t="s">
        <v>135</v>
      </c>
      <c r="E89" t="s">
        <v>110</v>
      </c>
      <c r="F89" t="s">
        <v>141</v>
      </c>
      <c r="G89">
        <v>742449</v>
      </c>
      <c r="H89" s="2">
        <v>25665.83</v>
      </c>
    </row>
    <row r="90" spans="1:8" x14ac:dyDescent="0.3">
      <c r="A90" t="s">
        <v>7</v>
      </c>
      <c r="B90" t="s">
        <v>8</v>
      </c>
      <c r="C90" s="1">
        <v>45217</v>
      </c>
      <c r="D90" t="s">
        <v>139</v>
      </c>
      <c r="E90" t="s">
        <v>72</v>
      </c>
      <c r="F90" t="s">
        <v>142</v>
      </c>
      <c r="G90">
        <v>742518</v>
      </c>
      <c r="H90" s="2">
        <v>69720.960000000006</v>
      </c>
    </row>
    <row r="91" spans="1:8" x14ac:dyDescent="0.3">
      <c r="A91" t="s">
        <v>7</v>
      </c>
      <c r="B91" t="s">
        <v>8</v>
      </c>
      <c r="C91" s="1">
        <v>45223</v>
      </c>
      <c r="D91" t="s">
        <v>12</v>
      </c>
      <c r="E91" t="s">
        <v>13</v>
      </c>
      <c r="F91" t="s">
        <v>143</v>
      </c>
      <c r="G91">
        <v>742538</v>
      </c>
      <c r="H91" s="2">
        <v>25193.5</v>
      </c>
    </row>
    <row r="92" spans="1:8" x14ac:dyDescent="0.3">
      <c r="A92" t="s">
        <v>7</v>
      </c>
      <c r="B92" t="s">
        <v>8</v>
      </c>
      <c r="C92" s="1">
        <v>45223</v>
      </c>
      <c r="D92" t="s">
        <v>12</v>
      </c>
      <c r="E92" t="s">
        <v>13</v>
      </c>
      <c r="F92" t="s">
        <v>143</v>
      </c>
      <c r="G92">
        <v>742539</v>
      </c>
      <c r="H92" s="2">
        <v>25193.5</v>
      </c>
    </row>
    <row r="93" spans="1:8" x14ac:dyDescent="0.3">
      <c r="A93" t="s">
        <v>7</v>
      </c>
      <c r="B93" t="s">
        <v>8</v>
      </c>
      <c r="C93" s="1">
        <v>45223</v>
      </c>
      <c r="D93" t="s">
        <v>12</v>
      </c>
      <c r="E93" t="s">
        <v>13</v>
      </c>
      <c r="F93" t="s">
        <v>143</v>
      </c>
      <c r="G93">
        <v>742540</v>
      </c>
      <c r="H93" s="2">
        <v>28215.88</v>
      </c>
    </row>
    <row r="94" spans="1:8" x14ac:dyDescent="0.3">
      <c r="A94" t="s">
        <v>7</v>
      </c>
      <c r="B94" t="s">
        <v>8</v>
      </c>
      <c r="C94" s="1">
        <v>45223</v>
      </c>
      <c r="D94" t="s">
        <v>12</v>
      </c>
      <c r="E94" t="s">
        <v>13</v>
      </c>
      <c r="F94" t="s">
        <v>143</v>
      </c>
      <c r="G94">
        <v>742541</v>
      </c>
      <c r="H94" s="2">
        <v>28215.88</v>
      </c>
    </row>
    <row r="95" spans="1:8" x14ac:dyDescent="0.3">
      <c r="A95" t="s">
        <v>7</v>
      </c>
      <c r="B95" t="s">
        <v>8</v>
      </c>
      <c r="C95" s="1">
        <v>45223</v>
      </c>
      <c r="D95" t="s">
        <v>12</v>
      </c>
      <c r="E95" t="s">
        <v>13</v>
      </c>
      <c r="F95" t="s">
        <v>143</v>
      </c>
      <c r="G95">
        <v>742542</v>
      </c>
      <c r="H95" s="2">
        <v>29223.34</v>
      </c>
    </row>
    <row r="96" spans="1:8" x14ac:dyDescent="0.3">
      <c r="A96" t="s">
        <v>7</v>
      </c>
      <c r="B96" t="s">
        <v>8</v>
      </c>
      <c r="C96" s="1">
        <v>45223</v>
      </c>
      <c r="D96" t="s">
        <v>12</v>
      </c>
      <c r="E96" t="s">
        <v>13</v>
      </c>
      <c r="F96" t="s">
        <v>143</v>
      </c>
      <c r="G96">
        <v>742543</v>
      </c>
      <c r="H96" s="2">
        <v>30230.799999999999</v>
      </c>
    </row>
    <row r="97" spans="1:8" x14ac:dyDescent="0.3">
      <c r="A97" t="s">
        <v>7</v>
      </c>
      <c r="B97" t="s">
        <v>8</v>
      </c>
      <c r="C97" s="1">
        <v>45223</v>
      </c>
      <c r="D97" t="s">
        <v>12</v>
      </c>
      <c r="E97" t="s">
        <v>13</v>
      </c>
      <c r="F97" t="s">
        <v>143</v>
      </c>
      <c r="G97">
        <v>742544</v>
      </c>
      <c r="H97" s="2">
        <v>30230.799999999999</v>
      </c>
    </row>
    <row r="98" spans="1:8" x14ac:dyDescent="0.3">
      <c r="A98" t="s">
        <v>7</v>
      </c>
      <c r="B98" t="s">
        <v>8</v>
      </c>
      <c r="C98" s="1">
        <v>45223</v>
      </c>
      <c r="D98" t="s">
        <v>12</v>
      </c>
      <c r="E98" t="s">
        <v>13</v>
      </c>
      <c r="F98" t="s">
        <v>143</v>
      </c>
      <c r="G98">
        <v>742548</v>
      </c>
      <c r="H98" s="2">
        <v>27208.42</v>
      </c>
    </row>
    <row r="99" spans="1:8" x14ac:dyDescent="0.3">
      <c r="A99" t="s">
        <v>7</v>
      </c>
      <c r="B99" t="s">
        <v>8</v>
      </c>
      <c r="C99" s="1">
        <v>45210</v>
      </c>
      <c r="D99" t="s">
        <v>18</v>
      </c>
      <c r="E99" t="s">
        <v>144</v>
      </c>
      <c r="F99" t="s">
        <v>145</v>
      </c>
      <c r="G99">
        <v>742573</v>
      </c>
      <c r="H99" s="2">
        <v>36225</v>
      </c>
    </row>
    <row r="100" spans="1:8" x14ac:dyDescent="0.3">
      <c r="A100" t="s">
        <v>7</v>
      </c>
      <c r="B100" t="s">
        <v>8</v>
      </c>
      <c r="C100" s="1">
        <v>45224</v>
      </c>
      <c r="D100" t="s">
        <v>15</v>
      </c>
      <c r="E100" t="s">
        <v>16</v>
      </c>
      <c r="F100" t="s">
        <v>17</v>
      </c>
      <c r="G100">
        <v>742576</v>
      </c>
      <c r="H100" s="2">
        <v>217976</v>
      </c>
    </row>
    <row r="101" spans="1:8" x14ac:dyDescent="0.3">
      <c r="A101" t="s">
        <v>7</v>
      </c>
      <c r="B101" t="s">
        <v>8</v>
      </c>
      <c r="C101" s="1">
        <v>45224</v>
      </c>
      <c r="D101" t="s">
        <v>15</v>
      </c>
      <c r="E101" t="s">
        <v>16</v>
      </c>
      <c r="F101" t="s">
        <v>17</v>
      </c>
      <c r="G101">
        <v>742577</v>
      </c>
      <c r="H101" s="2">
        <v>567418.80000000005</v>
      </c>
    </row>
    <row r="102" spans="1:8" x14ac:dyDescent="0.3">
      <c r="A102" t="s">
        <v>7</v>
      </c>
      <c r="B102" t="s">
        <v>8</v>
      </c>
      <c r="C102" s="1">
        <v>45210</v>
      </c>
      <c r="D102" t="s">
        <v>18</v>
      </c>
      <c r="E102" t="s">
        <v>144</v>
      </c>
      <c r="F102" t="s">
        <v>145</v>
      </c>
      <c r="G102">
        <v>742589</v>
      </c>
      <c r="H102" s="2">
        <v>48508.2</v>
      </c>
    </row>
    <row r="103" spans="1:8" x14ac:dyDescent="0.3">
      <c r="A103" t="s">
        <v>7</v>
      </c>
      <c r="B103" t="s">
        <v>8</v>
      </c>
      <c r="C103" s="1">
        <v>45217</v>
      </c>
      <c r="D103" t="s">
        <v>18</v>
      </c>
      <c r="E103" t="s">
        <v>134</v>
      </c>
      <c r="F103" t="s">
        <v>145</v>
      </c>
      <c r="G103">
        <v>742590</v>
      </c>
      <c r="H103" s="2">
        <v>52694.86</v>
      </c>
    </row>
    <row r="104" spans="1:8" x14ac:dyDescent="0.3">
      <c r="A104" t="s">
        <v>7</v>
      </c>
      <c r="B104" t="s">
        <v>8</v>
      </c>
      <c r="C104" s="1">
        <v>45223</v>
      </c>
      <c r="D104" t="s">
        <v>12</v>
      </c>
      <c r="E104" t="s">
        <v>13</v>
      </c>
      <c r="F104" t="s">
        <v>143</v>
      </c>
      <c r="G104">
        <v>742613</v>
      </c>
      <c r="H104" s="2">
        <v>27208.42</v>
      </c>
    </row>
    <row r="105" spans="1:8" x14ac:dyDescent="0.3">
      <c r="A105" t="s">
        <v>7</v>
      </c>
      <c r="B105" t="s">
        <v>8</v>
      </c>
      <c r="C105" s="1">
        <v>45224</v>
      </c>
      <c r="D105" t="s">
        <v>135</v>
      </c>
      <c r="E105" t="s">
        <v>146</v>
      </c>
      <c r="F105" t="s">
        <v>147</v>
      </c>
      <c r="G105">
        <v>742631</v>
      </c>
      <c r="H105" s="2">
        <v>163380</v>
      </c>
    </row>
    <row r="106" spans="1:8" x14ac:dyDescent="0.3">
      <c r="A106" t="s">
        <v>7</v>
      </c>
      <c r="B106" t="s">
        <v>8</v>
      </c>
      <c r="C106" s="1">
        <v>45210</v>
      </c>
      <c r="D106" t="s">
        <v>148</v>
      </c>
      <c r="E106" t="s">
        <v>110</v>
      </c>
      <c r="F106" t="s">
        <v>149</v>
      </c>
      <c r="G106">
        <v>742786</v>
      </c>
      <c r="H106" s="2">
        <v>25821.05</v>
      </c>
    </row>
    <row r="107" spans="1:8" x14ac:dyDescent="0.3">
      <c r="A107" t="s">
        <v>7</v>
      </c>
      <c r="B107" t="s">
        <v>8</v>
      </c>
      <c r="C107" s="1">
        <v>45210</v>
      </c>
      <c r="D107" t="s">
        <v>97</v>
      </c>
      <c r="E107" t="s">
        <v>150</v>
      </c>
      <c r="F107" t="s">
        <v>151</v>
      </c>
      <c r="G107">
        <v>743326</v>
      </c>
      <c r="H107" s="2">
        <v>48531.72</v>
      </c>
    </row>
    <row r="108" spans="1:8" x14ac:dyDescent="0.3">
      <c r="A108" t="s">
        <v>7</v>
      </c>
      <c r="B108" t="s">
        <v>8</v>
      </c>
      <c r="C108" s="1">
        <v>45217</v>
      </c>
      <c r="D108" t="s">
        <v>97</v>
      </c>
      <c r="E108" t="s">
        <v>98</v>
      </c>
      <c r="F108" t="s">
        <v>99</v>
      </c>
      <c r="G108">
        <v>743346</v>
      </c>
      <c r="H108" s="2">
        <v>30377.439999999999</v>
      </c>
    </row>
    <row r="109" spans="1:8" x14ac:dyDescent="0.3">
      <c r="A109" t="s">
        <v>7</v>
      </c>
      <c r="B109" t="s">
        <v>8</v>
      </c>
      <c r="C109" s="1">
        <v>45217</v>
      </c>
      <c r="D109" t="s">
        <v>97</v>
      </c>
      <c r="E109" t="s">
        <v>98</v>
      </c>
      <c r="F109" t="s">
        <v>99</v>
      </c>
      <c r="G109">
        <v>743347</v>
      </c>
      <c r="H109" s="2">
        <v>34425.279999999999</v>
      </c>
    </row>
    <row r="110" spans="1:8" x14ac:dyDescent="0.3">
      <c r="A110" t="s">
        <v>7</v>
      </c>
      <c r="B110" t="s">
        <v>8</v>
      </c>
      <c r="C110" s="1">
        <v>45224</v>
      </c>
      <c r="D110" t="s">
        <v>18</v>
      </c>
      <c r="E110" t="s">
        <v>152</v>
      </c>
      <c r="F110" t="s">
        <v>153</v>
      </c>
      <c r="G110">
        <v>743997</v>
      </c>
      <c r="H110" s="2">
        <v>134178</v>
      </c>
    </row>
    <row r="111" spans="1:8" x14ac:dyDescent="0.3">
      <c r="A111" t="s">
        <v>7</v>
      </c>
      <c r="B111" t="s">
        <v>8</v>
      </c>
      <c r="C111" s="1">
        <v>45224</v>
      </c>
      <c r="D111" t="s">
        <v>97</v>
      </c>
      <c r="E111" t="s">
        <v>98</v>
      </c>
      <c r="F111" t="s">
        <v>99</v>
      </c>
      <c r="G111">
        <v>744052</v>
      </c>
      <c r="H111" s="2">
        <v>37164.03</v>
      </c>
    </row>
    <row r="112" spans="1:8" x14ac:dyDescent="0.3">
      <c r="A112" t="s">
        <v>7</v>
      </c>
      <c r="B112" t="s">
        <v>8</v>
      </c>
      <c r="C112" s="1">
        <v>45224</v>
      </c>
      <c r="D112" t="s">
        <v>97</v>
      </c>
      <c r="E112" t="s">
        <v>98</v>
      </c>
      <c r="F112" t="s">
        <v>99</v>
      </c>
      <c r="G112">
        <v>744061</v>
      </c>
      <c r="H112" s="2">
        <v>37697.480000000003</v>
      </c>
    </row>
    <row r="113" spans="1:8" x14ac:dyDescent="0.3">
      <c r="A113" t="s">
        <v>7</v>
      </c>
      <c r="B113" t="s">
        <v>8</v>
      </c>
      <c r="C113" s="1">
        <v>45224</v>
      </c>
      <c r="D113" t="s">
        <v>21</v>
      </c>
      <c r="E113" t="s">
        <v>154</v>
      </c>
      <c r="F113" t="s">
        <v>155</v>
      </c>
      <c r="G113">
        <v>744565</v>
      </c>
      <c r="H113" s="2">
        <v>37182</v>
      </c>
    </row>
    <row r="114" spans="1:8" x14ac:dyDescent="0.3">
      <c r="A114" t="s">
        <v>7</v>
      </c>
      <c r="B114" t="s">
        <v>8</v>
      </c>
      <c r="C114" s="1">
        <v>45224</v>
      </c>
      <c r="D114" t="s">
        <v>12</v>
      </c>
      <c r="E114" t="s">
        <v>13</v>
      </c>
      <c r="F114" t="s">
        <v>156</v>
      </c>
      <c r="G114">
        <v>744588</v>
      </c>
      <c r="H114" s="2">
        <v>35254.480000000003</v>
      </c>
    </row>
    <row r="115" spans="1:8" x14ac:dyDescent="0.3">
      <c r="A115" t="s">
        <v>7</v>
      </c>
      <c r="B115" t="s">
        <v>8</v>
      </c>
      <c r="C115" s="1">
        <v>45224</v>
      </c>
      <c r="D115" t="s">
        <v>24</v>
      </c>
      <c r="E115" t="s">
        <v>13</v>
      </c>
      <c r="F115" t="s">
        <v>25</v>
      </c>
      <c r="G115">
        <v>744635</v>
      </c>
      <c r="H115" s="2">
        <v>-75600</v>
      </c>
    </row>
    <row r="116" spans="1:8" x14ac:dyDescent="0.3">
      <c r="A116" t="s">
        <v>7</v>
      </c>
      <c r="B116" t="s">
        <v>8</v>
      </c>
      <c r="C116" s="1">
        <v>45218</v>
      </c>
      <c r="D116" t="s">
        <v>12</v>
      </c>
      <c r="E116" t="s">
        <v>13</v>
      </c>
      <c r="F116" t="s">
        <v>156</v>
      </c>
      <c r="G116">
        <v>744683</v>
      </c>
      <c r="H116" s="2">
        <v>32254.48</v>
      </c>
    </row>
    <row r="117" spans="1:8" x14ac:dyDescent="0.3">
      <c r="A117" t="s">
        <v>7</v>
      </c>
      <c r="B117" t="s">
        <v>8</v>
      </c>
      <c r="C117" s="1">
        <v>45218</v>
      </c>
      <c r="D117" t="s">
        <v>12</v>
      </c>
      <c r="E117" t="s">
        <v>13</v>
      </c>
      <c r="F117" t="s">
        <v>156</v>
      </c>
      <c r="G117">
        <v>745063</v>
      </c>
      <c r="H117" s="2">
        <v>-32254.48</v>
      </c>
    </row>
    <row r="118" spans="1:8" x14ac:dyDescent="0.3">
      <c r="A118" t="s">
        <v>7</v>
      </c>
      <c r="B118" t="s">
        <v>8</v>
      </c>
      <c r="C118" s="1">
        <v>45218</v>
      </c>
      <c r="D118" t="s">
        <v>12</v>
      </c>
      <c r="E118" t="s">
        <v>13</v>
      </c>
      <c r="F118" t="s">
        <v>156</v>
      </c>
      <c r="G118">
        <v>745138</v>
      </c>
      <c r="H118" s="2">
        <v>511409.96</v>
      </c>
    </row>
    <row r="119" spans="1:8" x14ac:dyDescent="0.3">
      <c r="A119" t="s">
        <v>7</v>
      </c>
      <c r="B119" t="s">
        <v>8</v>
      </c>
      <c r="C119" s="1">
        <v>45223</v>
      </c>
      <c r="D119" t="s">
        <v>45</v>
      </c>
      <c r="E119" t="s">
        <v>46</v>
      </c>
      <c r="F119" t="s">
        <v>47</v>
      </c>
      <c r="G119">
        <v>745597</v>
      </c>
      <c r="H119" s="2">
        <v>-28443</v>
      </c>
    </row>
    <row r="120" spans="1:8" x14ac:dyDescent="0.3">
      <c r="A120" t="s">
        <v>7</v>
      </c>
      <c r="B120" t="s">
        <v>8</v>
      </c>
      <c r="C120" s="1">
        <v>45202</v>
      </c>
      <c r="D120" t="s">
        <v>157</v>
      </c>
      <c r="E120" t="s">
        <v>158</v>
      </c>
      <c r="F120" t="s">
        <v>159</v>
      </c>
      <c r="G120">
        <v>109161</v>
      </c>
      <c r="H120" s="2">
        <v>446608.59</v>
      </c>
    </row>
    <row r="121" spans="1:8" x14ac:dyDescent="0.3">
      <c r="A121" t="s">
        <v>7</v>
      </c>
      <c r="B121" t="s">
        <v>8</v>
      </c>
      <c r="C121" s="1">
        <v>45225</v>
      </c>
      <c r="D121" t="s">
        <v>160</v>
      </c>
      <c r="E121" t="s">
        <v>161</v>
      </c>
      <c r="F121" t="s">
        <v>162</v>
      </c>
      <c r="G121">
        <v>109358</v>
      </c>
      <c r="H121" s="2">
        <v>141696.95000000001</v>
      </c>
    </row>
    <row r="122" spans="1:8" x14ac:dyDescent="0.3">
      <c r="A122" t="s">
        <v>7</v>
      </c>
      <c r="B122" t="s">
        <v>8</v>
      </c>
      <c r="C122" s="1">
        <v>45216</v>
      </c>
      <c r="D122" t="s">
        <v>163</v>
      </c>
      <c r="E122" t="s">
        <v>158</v>
      </c>
      <c r="F122" t="s">
        <v>164</v>
      </c>
      <c r="G122">
        <v>109309</v>
      </c>
      <c r="H122" s="2">
        <v>240843.99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I69"/>
  <sheetViews>
    <sheetView topLeftCell="A19" workbookViewId="0">
      <selection activeCell="B38" sqref="B38"/>
    </sheetView>
  </sheetViews>
  <sheetFormatPr defaultRowHeight="14.4" x14ac:dyDescent="0.3"/>
  <cols>
    <col min="1" max="1" width="17.44140625" bestFit="1" customWidth="1"/>
    <col min="2" max="2" width="15.33203125" bestFit="1" customWidth="1"/>
    <col min="8" max="8" width="17.44140625" bestFit="1" customWidth="1"/>
    <col min="9" max="9" width="15.33203125" bestFit="1" customWidth="1"/>
    <col min="10" max="10" width="16.33203125" bestFit="1" customWidth="1"/>
  </cols>
  <sheetData>
    <row r="3" spans="1:2" x14ac:dyDescent="0.3">
      <c r="A3" s="4" t="s">
        <v>170</v>
      </c>
      <c r="B3" t="s">
        <v>169</v>
      </c>
    </row>
    <row r="4" spans="1:2" x14ac:dyDescent="0.3">
      <c r="A4" s="5" t="s">
        <v>24</v>
      </c>
      <c r="B4" s="3">
        <v>382591.35000000003</v>
      </c>
    </row>
    <row r="5" spans="1:2" x14ac:dyDescent="0.3">
      <c r="A5" s="5" t="s">
        <v>52</v>
      </c>
      <c r="B5" s="3">
        <v>421059.74</v>
      </c>
    </row>
    <row r="6" spans="1:2" x14ac:dyDescent="0.3">
      <c r="A6" s="5" t="s">
        <v>157</v>
      </c>
      <c r="B6" s="3">
        <v>446608.59</v>
      </c>
    </row>
    <row r="7" spans="1:2" x14ac:dyDescent="0.3">
      <c r="A7" s="5" t="s">
        <v>118</v>
      </c>
      <c r="B7" s="3">
        <v>515476.39</v>
      </c>
    </row>
    <row r="8" spans="1:2" x14ac:dyDescent="0.3">
      <c r="A8" s="5" t="s">
        <v>112</v>
      </c>
      <c r="B8" s="3">
        <v>528082.92999999993</v>
      </c>
    </row>
    <row r="9" spans="1:2" x14ac:dyDescent="0.3">
      <c r="A9" s="5" t="s">
        <v>114</v>
      </c>
      <c r="B9" s="3">
        <v>597041.74</v>
      </c>
    </row>
    <row r="10" spans="1:2" x14ac:dyDescent="0.3">
      <c r="A10" s="5" t="s">
        <v>62</v>
      </c>
      <c r="B10" s="3">
        <v>807914.21</v>
      </c>
    </row>
    <row r="11" spans="1:2" x14ac:dyDescent="0.3">
      <c r="A11" s="5" t="s">
        <v>18</v>
      </c>
      <c r="B11" s="3">
        <v>910578.76</v>
      </c>
    </row>
    <row r="12" spans="1:2" x14ac:dyDescent="0.3">
      <c r="A12" s="5" t="s">
        <v>12</v>
      </c>
      <c r="B12" s="3">
        <v>1023827.1200000001</v>
      </c>
    </row>
    <row r="13" spans="1:2" x14ac:dyDescent="0.3">
      <c r="A13" s="5" t="s">
        <v>15</v>
      </c>
      <c r="B13" s="3">
        <v>2117750.9400000004</v>
      </c>
    </row>
    <row r="14" spans="1:2" x14ac:dyDescent="0.3">
      <c r="A14" s="5" t="s">
        <v>171</v>
      </c>
      <c r="B14" s="3">
        <v>7750931.7700000005</v>
      </c>
    </row>
    <row r="20" spans="1:2" x14ac:dyDescent="0.3">
      <c r="A20" s="4" t="s">
        <v>170</v>
      </c>
      <c r="B20" t="s">
        <v>169</v>
      </c>
    </row>
    <row r="21" spans="1:2" x14ac:dyDescent="0.3">
      <c r="A21" s="5" t="s">
        <v>13</v>
      </c>
      <c r="B21" s="3">
        <v>2473557.86</v>
      </c>
    </row>
    <row r="22" spans="1:2" x14ac:dyDescent="0.3">
      <c r="A22" s="5" t="s">
        <v>48</v>
      </c>
      <c r="B22" s="3">
        <v>1548642.74</v>
      </c>
    </row>
    <row r="23" spans="1:2" x14ac:dyDescent="0.3">
      <c r="A23" s="5" t="s">
        <v>63</v>
      </c>
      <c r="B23" s="3">
        <v>776834.21</v>
      </c>
    </row>
    <row r="24" spans="1:2" x14ac:dyDescent="0.3">
      <c r="A24" s="5" t="s">
        <v>72</v>
      </c>
      <c r="B24" s="3">
        <v>772770.7</v>
      </c>
    </row>
    <row r="25" spans="1:2" x14ac:dyDescent="0.3">
      <c r="A25" s="5" t="s">
        <v>158</v>
      </c>
      <c r="B25" s="3">
        <v>687452.58000000007</v>
      </c>
    </row>
    <row r="26" spans="1:2" x14ac:dyDescent="0.3">
      <c r="A26" s="5" t="s">
        <v>171</v>
      </c>
      <c r="B26" s="3">
        <v>6259258.0899999999</v>
      </c>
    </row>
    <row r="36" spans="1:2" x14ac:dyDescent="0.3">
      <c r="A36" s="4" t="s">
        <v>170</v>
      </c>
      <c r="B36" t="s">
        <v>169</v>
      </c>
    </row>
    <row r="37" spans="1:2" x14ac:dyDescent="0.3">
      <c r="A37" s="5" t="s">
        <v>167</v>
      </c>
      <c r="B37" s="3">
        <v>13249211.790000007</v>
      </c>
    </row>
    <row r="38" spans="1:2" x14ac:dyDescent="0.3">
      <c r="A38" s="5" t="s">
        <v>168</v>
      </c>
      <c r="B38" s="3">
        <v>-1840047.33</v>
      </c>
    </row>
    <row r="39" spans="1:2" x14ac:dyDescent="0.3">
      <c r="A39" s="5" t="s">
        <v>171</v>
      </c>
      <c r="B39" s="3">
        <v>11409164.460000006</v>
      </c>
    </row>
    <row r="43" spans="1:2" x14ac:dyDescent="0.3">
      <c r="A43" s="4" t="s">
        <v>6</v>
      </c>
      <c r="B43" t="s">
        <v>172</v>
      </c>
    </row>
    <row r="45" spans="1:2" x14ac:dyDescent="0.3">
      <c r="A45" s="4" t="s">
        <v>170</v>
      </c>
      <c r="B45" t="s">
        <v>169</v>
      </c>
    </row>
    <row r="46" spans="1:2" x14ac:dyDescent="0.3">
      <c r="A46" s="5" t="s">
        <v>47</v>
      </c>
      <c r="B46" s="3">
        <v>-28443</v>
      </c>
    </row>
    <row r="47" spans="1:2" x14ac:dyDescent="0.3">
      <c r="A47" s="5" t="s">
        <v>156</v>
      </c>
      <c r="B47" s="3">
        <v>-32254.48</v>
      </c>
    </row>
    <row r="48" spans="1:2" x14ac:dyDescent="0.3">
      <c r="A48" s="5" t="s">
        <v>25</v>
      </c>
      <c r="B48" s="3">
        <v>-75600</v>
      </c>
    </row>
    <row r="49" spans="1:9" x14ac:dyDescent="0.3">
      <c r="A49" s="5" t="s">
        <v>36</v>
      </c>
      <c r="B49" s="3">
        <v>-136656</v>
      </c>
    </row>
    <row r="50" spans="1:9" x14ac:dyDescent="0.3">
      <c r="A50" s="5" t="s">
        <v>11</v>
      </c>
      <c r="B50" s="3">
        <v>-770772.58</v>
      </c>
    </row>
    <row r="51" spans="1:9" x14ac:dyDescent="0.3">
      <c r="A51" s="5" t="s">
        <v>17</v>
      </c>
      <c r="B51" s="3">
        <v>-796321.27</v>
      </c>
    </row>
    <row r="52" spans="1:9" x14ac:dyDescent="0.3">
      <c r="A52" s="5" t="s">
        <v>171</v>
      </c>
      <c r="B52" s="3">
        <v>-1840047.33</v>
      </c>
    </row>
    <row r="53" spans="1:9" x14ac:dyDescent="0.3">
      <c r="H53" s="4" t="s">
        <v>170</v>
      </c>
      <c r="I53" t="s">
        <v>169</v>
      </c>
    </row>
    <row r="54" spans="1:9" x14ac:dyDescent="0.3">
      <c r="H54" s="5" t="s">
        <v>167</v>
      </c>
      <c r="I54" s="3">
        <v>13249211.790000007</v>
      </c>
    </row>
    <row r="55" spans="1:9" x14ac:dyDescent="0.3">
      <c r="H55" s="5" t="s">
        <v>168</v>
      </c>
      <c r="I55" s="3">
        <v>-1840047.33</v>
      </c>
    </row>
    <row r="56" spans="1:9" x14ac:dyDescent="0.3">
      <c r="H56" s="5" t="s">
        <v>171</v>
      </c>
      <c r="I56" s="3">
        <v>11409164.460000006</v>
      </c>
    </row>
    <row r="58" spans="1:9" x14ac:dyDescent="0.3">
      <c r="A58" s="4" t="s">
        <v>170</v>
      </c>
      <c r="B58" t="s">
        <v>169</v>
      </c>
    </row>
    <row r="59" spans="1:9" x14ac:dyDescent="0.3">
      <c r="A59" s="5" t="s">
        <v>78</v>
      </c>
      <c r="B59" s="3">
        <v>267298.8</v>
      </c>
      <c r="H59" s="6">
        <f>GETPIVOTDATA(" Amount ",$H$53,"Transaction_type","Expenses")</f>
        <v>13249211.790000007</v>
      </c>
    </row>
    <row r="60" spans="1:9" x14ac:dyDescent="0.3">
      <c r="A60" s="5" t="s">
        <v>25</v>
      </c>
      <c r="B60" s="3">
        <v>302778.77</v>
      </c>
      <c r="H60" s="6">
        <f>GETPIVOTDATA(" Amount ",$H$53,"Transaction_type","Refund/ Adjustment")</f>
        <v>-1840047.33</v>
      </c>
    </row>
    <row r="61" spans="1:9" x14ac:dyDescent="0.3">
      <c r="A61" s="5" t="s">
        <v>159</v>
      </c>
      <c r="B61" s="3">
        <v>446608.59</v>
      </c>
      <c r="H61" s="6">
        <f>GETPIVOTDATA(" Amount ",$H$53)</f>
        <v>11409164.460000006</v>
      </c>
    </row>
    <row r="62" spans="1:9" x14ac:dyDescent="0.3">
      <c r="A62" s="5" t="s">
        <v>94</v>
      </c>
      <c r="B62" s="3">
        <v>494857</v>
      </c>
    </row>
    <row r="63" spans="1:9" x14ac:dyDescent="0.3">
      <c r="A63" s="5" t="s">
        <v>156</v>
      </c>
      <c r="B63" s="3">
        <v>546664.44000000006</v>
      </c>
    </row>
    <row r="64" spans="1:9" x14ac:dyDescent="0.3">
      <c r="A64" s="5" t="s">
        <v>113</v>
      </c>
      <c r="B64" s="3">
        <v>626254.19999999995</v>
      </c>
    </row>
    <row r="65" spans="1:2" x14ac:dyDescent="0.3">
      <c r="A65" s="5" t="s">
        <v>64</v>
      </c>
      <c r="B65" s="3">
        <v>776834.21</v>
      </c>
    </row>
    <row r="66" spans="1:2" x14ac:dyDescent="0.3">
      <c r="A66" s="5" t="s">
        <v>128</v>
      </c>
      <c r="B66" s="3">
        <v>1085874.57</v>
      </c>
    </row>
    <row r="67" spans="1:2" x14ac:dyDescent="0.3">
      <c r="A67" s="5" t="s">
        <v>116</v>
      </c>
      <c r="B67" s="3">
        <v>1112518.1299999999</v>
      </c>
    </row>
    <row r="68" spans="1:2" x14ac:dyDescent="0.3">
      <c r="A68" s="5" t="s">
        <v>49</v>
      </c>
      <c r="B68" s="3">
        <v>1548642.74</v>
      </c>
    </row>
    <row r="69" spans="1:2" x14ac:dyDescent="0.3">
      <c r="A69" s="5" t="s">
        <v>171</v>
      </c>
      <c r="B69" s="3">
        <v>7208331.4500000002</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2"/>
  <sheetViews>
    <sheetView topLeftCell="A2" workbookViewId="0">
      <selection sqref="A1:XFD122"/>
    </sheetView>
  </sheetViews>
  <sheetFormatPr defaultRowHeight="14.4" x14ac:dyDescent="0.3"/>
  <cols>
    <col min="1" max="1" width="19.44140625" bestFit="1" customWidth="1"/>
    <col min="2" max="2" width="31.77734375" bestFit="1" customWidth="1"/>
    <col min="3" max="3" width="10.5546875" bestFit="1" customWidth="1"/>
    <col min="4" max="4" width="28.5546875" bestFit="1" customWidth="1"/>
    <col min="5" max="5" width="45.5546875" bestFit="1" customWidth="1"/>
    <col min="6" max="6" width="43.44140625" bestFit="1" customWidth="1"/>
    <col min="7" max="7" width="20.5546875" bestFit="1" customWidth="1"/>
    <col min="8" max="8" width="11" bestFit="1" customWidth="1"/>
    <col min="9" max="9" width="17.88671875" bestFit="1" customWidth="1"/>
  </cols>
  <sheetData>
    <row r="1" spans="1:9" x14ac:dyDescent="0.3">
      <c r="A1" s="3" t="s">
        <v>0</v>
      </c>
      <c r="B1" s="3" t="s">
        <v>1</v>
      </c>
      <c r="C1" s="3" t="s">
        <v>2</v>
      </c>
      <c r="D1" s="3" t="s">
        <v>3</v>
      </c>
      <c r="E1" s="3" t="s">
        <v>4</v>
      </c>
      <c r="F1" s="3" t="s">
        <v>165</v>
      </c>
      <c r="G1" s="3" t="s">
        <v>5</v>
      </c>
      <c r="H1" s="3" t="s">
        <v>6</v>
      </c>
      <c r="I1" s="3" t="s">
        <v>166</v>
      </c>
    </row>
    <row r="2" spans="1:9" x14ac:dyDescent="0.3">
      <c r="A2" s="3" t="s">
        <v>7</v>
      </c>
      <c r="B2" s="3" t="s">
        <v>8</v>
      </c>
      <c r="C2" s="1">
        <v>45200</v>
      </c>
      <c r="D2" s="3" t="s">
        <v>9</v>
      </c>
      <c r="E2" s="3" t="s">
        <v>10</v>
      </c>
      <c r="F2" s="3" t="s">
        <v>11</v>
      </c>
      <c r="G2" s="3">
        <v>695464</v>
      </c>
      <c r="H2" s="3">
        <v>385386.29</v>
      </c>
      <c r="I2" s="3" t="s">
        <v>167</v>
      </c>
    </row>
    <row r="3" spans="1:9" x14ac:dyDescent="0.3">
      <c r="A3" s="3" t="s">
        <v>7</v>
      </c>
      <c r="B3" s="3" t="s">
        <v>8</v>
      </c>
      <c r="C3" s="1">
        <v>45200</v>
      </c>
      <c r="D3" s="3" t="s">
        <v>9</v>
      </c>
      <c r="E3" s="3" t="s">
        <v>10</v>
      </c>
      <c r="F3" s="3" t="s">
        <v>11</v>
      </c>
      <c r="G3" s="3">
        <v>708245</v>
      </c>
      <c r="H3" s="3">
        <v>385386.29</v>
      </c>
      <c r="I3" s="3" t="s">
        <v>167</v>
      </c>
    </row>
    <row r="4" spans="1:9" x14ac:dyDescent="0.3">
      <c r="A4" s="3" t="s">
        <v>7</v>
      </c>
      <c r="B4" s="3" t="s">
        <v>8</v>
      </c>
      <c r="C4" s="1">
        <v>45200</v>
      </c>
      <c r="D4" s="3" t="s">
        <v>12</v>
      </c>
      <c r="E4" s="3" t="s">
        <v>13</v>
      </c>
      <c r="F4" s="3" t="s">
        <v>14</v>
      </c>
      <c r="G4" s="3">
        <v>714511</v>
      </c>
      <c r="H4" s="3">
        <v>226242.14</v>
      </c>
      <c r="I4" s="3" t="s">
        <v>167</v>
      </c>
    </row>
    <row r="5" spans="1:9" x14ac:dyDescent="0.3">
      <c r="A5" s="3" t="s">
        <v>7</v>
      </c>
      <c r="B5" s="3" t="s">
        <v>8</v>
      </c>
      <c r="C5" s="1">
        <v>45224</v>
      </c>
      <c r="D5" s="3" t="s">
        <v>15</v>
      </c>
      <c r="E5" s="3" t="s">
        <v>16</v>
      </c>
      <c r="F5" s="3" t="s">
        <v>17</v>
      </c>
      <c r="G5" s="3">
        <v>717653</v>
      </c>
      <c r="H5" s="3">
        <v>85177.67</v>
      </c>
      <c r="I5" s="3" t="s">
        <v>167</v>
      </c>
    </row>
    <row r="6" spans="1:9" x14ac:dyDescent="0.3">
      <c r="A6" s="3" t="s">
        <v>7</v>
      </c>
      <c r="B6" s="3" t="s">
        <v>8</v>
      </c>
      <c r="C6" s="1">
        <v>45200</v>
      </c>
      <c r="D6" s="3" t="s">
        <v>18</v>
      </c>
      <c r="E6" s="3" t="s">
        <v>19</v>
      </c>
      <c r="F6" s="3" t="s">
        <v>20</v>
      </c>
      <c r="G6" s="3">
        <v>721483</v>
      </c>
      <c r="H6" s="3">
        <v>39447.599999999999</v>
      </c>
      <c r="I6" s="3" t="s">
        <v>167</v>
      </c>
    </row>
    <row r="7" spans="1:9" x14ac:dyDescent="0.3">
      <c r="A7" s="3" t="s">
        <v>7</v>
      </c>
      <c r="B7" s="3" t="s">
        <v>8</v>
      </c>
      <c r="C7" s="1">
        <v>45200</v>
      </c>
      <c r="D7" s="3" t="s">
        <v>21</v>
      </c>
      <c r="E7" s="3" t="s">
        <v>22</v>
      </c>
      <c r="F7" s="3" t="s">
        <v>23</v>
      </c>
      <c r="G7" s="3">
        <v>723104</v>
      </c>
      <c r="H7" s="3">
        <v>26400</v>
      </c>
      <c r="I7" s="3" t="s">
        <v>167</v>
      </c>
    </row>
    <row r="8" spans="1:9" x14ac:dyDescent="0.3">
      <c r="A8" s="3" t="s">
        <v>7</v>
      </c>
      <c r="B8" s="3" t="s">
        <v>8</v>
      </c>
      <c r="C8" s="1">
        <v>45224</v>
      </c>
      <c r="D8" s="3" t="s">
        <v>24</v>
      </c>
      <c r="E8" s="3" t="s">
        <v>13</v>
      </c>
      <c r="F8" s="3" t="s">
        <v>25</v>
      </c>
      <c r="G8" s="3">
        <v>724770</v>
      </c>
      <c r="H8" s="3">
        <v>75600</v>
      </c>
      <c r="I8" s="3" t="s">
        <v>167</v>
      </c>
    </row>
    <row r="9" spans="1:9" x14ac:dyDescent="0.3">
      <c r="A9" s="3" t="s">
        <v>7</v>
      </c>
      <c r="B9" s="3" t="s">
        <v>8</v>
      </c>
      <c r="C9" s="1">
        <v>45224</v>
      </c>
      <c r="D9" s="3" t="s">
        <v>15</v>
      </c>
      <c r="E9" s="3" t="s">
        <v>16</v>
      </c>
      <c r="F9" s="3" t="s">
        <v>17</v>
      </c>
      <c r="G9" s="3">
        <v>725226</v>
      </c>
      <c r="H9" s="3">
        <v>-85177.67</v>
      </c>
      <c r="I9" s="3" t="s">
        <v>168</v>
      </c>
    </row>
    <row r="10" spans="1:9" x14ac:dyDescent="0.3">
      <c r="A10" s="3" t="s">
        <v>7</v>
      </c>
      <c r="B10" s="3" t="s">
        <v>8</v>
      </c>
      <c r="C10" s="1">
        <v>45203</v>
      </c>
      <c r="D10" s="3" t="s">
        <v>26</v>
      </c>
      <c r="E10" s="3" t="s">
        <v>27</v>
      </c>
      <c r="F10" s="3" t="s">
        <v>28</v>
      </c>
      <c r="G10" s="3">
        <v>728829</v>
      </c>
      <c r="H10" s="3">
        <v>26970</v>
      </c>
      <c r="I10" s="3" t="s">
        <v>167</v>
      </c>
    </row>
    <row r="11" spans="1:9" x14ac:dyDescent="0.3">
      <c r="A11" s="3" t="s">
        <v>7</v>
      </c>
      <c r="B11" s="3" t="s">
        <v>8</v>
      </c>
      <c r="C11" s="1">
        <v>45200</v>
      </c>
      <c r="D11" s="3" t="s">
        <v>29</v>
      </c>
      <c r="E11" s="3" t="s">
        <v>30</v>
      </c>
      <c r="F11" s="3" t="s">
        <v>31</v>
      </c>
      <c r="G11" s="3">
        <v>729278</v>
      </c>
      <c r="H11" s="3">
        <v>51456.6</v>
      </c>
      <c r="I11" s="3" t="s">
        <v>167</v>
      </c>
    </row>
    <row r="12" spans="1:9" x14ac:dyDescent="0.3">
      <c r="A12" s="3" t="s">
        <v>7</v>
      </c>
      <c r="B12" s="3" t="s">
        <v>8</v>
      </c>
      <c r="C12" s="1">
        <v>45224</v>
      </c>
      <c r="D12" s="3" t="s">
        <v>24</v>
      </c>
      <c r="E12" s="3" t="s">
        <v>13</v>
      </c>
      <c r="F12" s="3" t="s">
        <v>25</v>
      </c>
      <c r="G12" s="3">
        <v>729732</v>
      </c>
      <c r="H12" s="3">
        <v>53610</v>
      </c>
      <c r="I12" s="3" t="s">
        <v>167</v>
      </c>
    </row>
    <row r="13" spans="1:9" x14ac:dyDescent="0.3">
      <c r="A13" s="3" t="s">
        <v>7</v>
      </c>
      <c r="B13" s="3" t="s">
        <v>8</v>
      </c>
      <c r="C13" s="1">
        <v>45224</v>
      </c>
      <c r="D13" s="3" t="s">
        <v>24</v>
      </c>
      <c r="E13" s="3" t="s">
        <v>13</v>
      </c>
      <c r="F13" s="3" t="s">
        <v>25</v>
      </c>
      <c r="G13" s="3">
        <v>732569</v>
      </c>
      <c r="H13" s="3">
        <v>129168.77</v>
      </c>
      <c r="I13" s="3" t="s">
        <v>167</v>
      </c>
    </row>
    <row r="14" spans="1:9" x14ac:dyDescent="0.3">
      <c r="A14" s="3" t="s">
        <v>7</v>
      </c>
      <c r="B14" s="3" t="s">
        <v>8</v>
      </c>
      <c r="C14" s="1">
        <v>45203</v>
      </c>
      <c r="D14" s="3" t="s">
        <v>32</v>
      </c>
      <c r="E14" s="3" t="s">
        <v>33</v>
      </c>
      <c r="F14" s="3" t="s">
        <v>34</v>
      </c>
      <c r="G14" s="3">
        <v>732977</v>
      </c>
      <c r="H14" s="3">
        <v>27792</v>
      </c>
      <c r="I14" s="3" t="s">
        <v>167</v>
      </c>
    </row>
    <row r="15" spans="1:9" x14ac:dyDescent="0.3">
      <c r="A15" s="3" t="s">
        <v>7</v>
      </c>
      <c r="B15" s="3" t="s">
        <v>8</v>
      </c>
      <c r="C15" s="1">
        <v>45210</v>
      </c>
      <c r="D15" s="3" t="s">
        <v>35</v>
      </c>
      <c r="E15" s="3" t="s">
        <v>27</v>
      </c>
      <c r="F15" s="3" t="s">
        <v>36</v>
      </c>
      <c r="G15" s="3">
        <v>733888</v>
      </c>
      <c r="H15" s="3">
        <v>82656</v>
      </c>
      <c r="I15" s="3" t="s">
        <v>167</v>
      </c>
    </row>
    <row r="16" spans="1:9" x14ac:dyDescent="0.3">
      <c r="A16" s="3" t="s">
        <v>7</v>
      </c>
      <c r="B16" s="3" t="s">
        <v>8</v>
      </c>
      <c r="C16" s="1">
        <v>45210</v>
      </c>
      <c r="D16" s="3" t="s">
        <v>35</v>
      </c>
      <c r="E16" s="3" t="s">
        <v>27</v>
      </c>
      <c r="F16" s="3" t="s">
        <v>36</v>
      </c>
      <c r="G16" s="3">
        <v>733889</v>
      </c>
      <c r="H16" s="3">
        <v>54000</v>
      </c>
      <c r="I16" s="3" t="s">
        <v>167</v>
      </c>
    </row>
    <row r="17" spans="1:9" x14ac:dyDescent="0.3">
      <c r="A17" s="3" t="s">
        <v>7</v>
      </c>
      <c r="B17" s="3" t="s">
        <v>8</v>
      </c>
      <c r="C17" s="1">
        <v>45210</v>
      </c>
      <c r="D17" s="3" t="s">
        <v>35</v>
      </c>
      <c r="E17" s="3" t="s">
        <v>27</v>
      </c>
      <c r="F17" s="3" t="s">
        <v>36</v>
      </c>
      <c r="G17" s="3">
        <v>733891</v>
      </c>
      <c r="H17" s="3">
        <v>-136656</v>
      </c>
      <c r="I17" s="3" t="s">
        <v>168</v>
      </c>
    </row>
    <row r="18" spans="1:9" x14ac:dyDescent="0.3">
      <c r="A18" s="3" t="s">
        <v>7</v>
      </c>
      <c r="B18" s="3" t="s">
        <v>8</v>
      </c>
      <c r="C18" s="1">
        <v>45224</v>
      </c>
      <c r="D18" s="3" t="s">
        <v>15</v>
      </c>
      <c r="E18" s="3" t="s">
        <v>16</v>
      </c>
      <c r="F18" s="3" t="s">
        <v>17</v>
      </c>
      <c r="G18" s="3">
        <v>734013</v>
      </c>
      <c r="H18" s="3">
        <v>-259598</v>
      </c>
      <c r="I18" s="3" t="s">
        <v>168</v>
      </c>
    </row>
    <row r="19" spans="1:9" x14ac:dyDescent="0.3">
      <c r="A19" s="3" t="s">
        <v>7</v>
      </c>
      <c r="B19" s="3" t="s">
        <v>8</v>
      </c>
      <c r="C19" s="1">
        <v>45224</v>
      </c>
      <c r="D19" s="3" t="s">
        <v>15</v>
      </c>
      <c r="E19" s="3" t="s">
        <v>16</v>
      </c>
      <c r="F19" s="3" t="s">
        <v>17</v>
      </c>
      <c r="G19" s="3">
        <v>734014</v>
      </c>
      <c r="H19" s="3">
        <v>-451545.59999999998</v>
      </c>
      <c r="I19" s="3" t="s">
        <v>168</v>
      </c>
    </row>
    <row r="20" spans="1:9" x14ac:dyDescent="0.3">
      <c r="A20" s="3" t="s">
        <v>7</v>
      </c>
      <c r="B20" s="3" t="s">
        <v>8</v>
      </c>
      <c r="C20" s="1">
        <v>45203</v>
      </c>
      <c r="D20" s="3" t="s">
        <v>18</v>
      </c>
      <c r="E20" s="3" t="s">
        <v>37</v>
      </c>
      <c r="F20" s="3" t="s">
        <v>20</v>
      </c>
      <c r="G20" s="3">
        <v>736196</v>
      </c>
      <c r="H20" s="3">
        <v>31870.799999999999</v>
      </c>
      <c r="I20" s="3" t="s">
        <v>167</v>
      </c>
    </row>
    <row r="21" spans="1:9" x14ac:dyDescent="0.3">
      <c r="A21" s="3" t="s">
        <v>7</v>
      </c>
      <c r="B21" s="3" t="s">
        <v>8</v>
      </c>
      <c r="C21" s="1">
        <v>45203</v>
      </c>
      <c r="D21" s="3" t="s">
        <v>18</v>
      </c>
      <c r="E21" s="3" t="s">
        <v>38</v>
      </c>
      <c r="F21" s="3" t="s">
        <v>20</v>
      </c>
      <c r="G21" s="3">
        <v>736362</v>
      </c>
      <c r="H21" s="3">
        <v>39244.800000000003</v>
      </c>
      <c r="I21" s="3" t="s">
        <v>167</v>
      </c>
    </row>
    <row r="22" spans="1:9" x14ac:dyDescent="0.3">
      <c r="A22" s="3" t="s">
        <v>7</v>
      </c>
      <c r="B22" s="3" t="s">
        <v>8</v>
      </c>
      <c r="C22" s="1">
        <v>45224</v>
      </c>
      <c r="D22" s="3" t="s">
        <v>18</v>
      </c>
      <c r="E22" s="3" t="s">
        <v>19</v>
      </c>
      <c r="F22" s="3" t="s">
        <v>20</v>
      </c>
      <c r="G22" s="3">
        <v>736363</v>
      </c>
      <c r="H22" s="3">
        <v>38625.599999999999</v>
      </c>
      <c r="I22" s="3" t="s">
        <v>167</v>
      </c>
    </row>
    <row r="23" spans="1:9" x14ac:dyDescent="0.3">
      <c r="A23" s="3" t="s">
        <v>7</v>
      </c>
      <c r="B23" s="3" t="s">
        <v>8</v>
      </c>
      <c r="C23" s="1">
        <v>45203</v>
      </c>
      <c r="D23" s="3" t="s">
        <v>39</v>
      </c>
      <c r="E23" s="3" t="s">
        <v>40</v>
      </c>
      <c r="F23" s="3" t="s">
        <v>41</v>
      </c>
      <c r="G23">
        <v>736999</v>
      </c>
      <c r="H23">
        <v>28405.200000000001</v>
      </c>
      <c r="I23" t="s">
        <v>167</v>
      </c>
    </row>
    <row r="24" spans="1:9" x14ac:dyDescent="0.3">
      <c r="A24" s="3" t="s">
        <v>7</v>
      </c>
      <c r="B24" s="3" t="s">
        <v>8</v>
      </c>
      <c r="C24" s="1">
        <v>45217</v>
      </c>
      <c r="D24" s="3" t="s">
        <v>42</v>
      </c>
      <c r="E24" s="3" t="s">
        <v>43</v>
      </c>
      <c r="F24" s="3" t="s">
        <v>44</v>
      </c>
      <c r="G24">
        <v>737515</v>
      </c>
      <c r="H24">
        <v>34875.879999999997</v>
      </c>
      <c r="I24" t="s">
        <v>167</v>
      </c>
    </row>
    <row r="25" spans="1:9" x14ac:dyDescent="0.3">
      <c r="A25" s="3" t="s">
        <v>7</v>
      </c>
      <c r="B25" s="3" t="s">
        <v>8</v>
      </c>
      <c r="C25" s="1">
        <v>45223</v>
      </c>
      <c r="D25" s="3" t="s">
        <v>45</v>
      </c>
      <c r="E25" s="3" t="s">
        <v>46</v>
      </c>
      <c r="F25" s="3" t="s">
        <v>47</v>
      </c>
      <c r="G25">
        <v>737927</v>
      </c>
      <c r="H25">
        <v>28443</v>
      </c>
      <c r="I25" t="s">
        <v>167</v>
      </c>
    </row>
    <row r="26" spans="1:9" x14ac:dyDescent="0.3">
      <c r="A26" s="3" t="s">
        <v>7</v>
      </c>
      <c r="B26" s="3" t="s">
        <v>8</v>
      </c>
      <c r="C26" s="1">
        <v>45210</v>
      </c>
      <c r="D26" s="3" t="s">
        <v>15</v>
      </c>
      <c r="E26" s="3" t="s">
        <v>48</v>
      </c>
      <c r="F26" s="3" t="s">
        <v>49</v>
      </c>
      <c r="G26">
        <v>738336</v>
      </c>
      <c r="H26">
        <v>1239214.71</v>
      </c>
      <c r="I26" t="s">
        <v>167</v>
      </c>
    </row>
    <row r="27" spans="1:9" x14ac:dyDescent="0.3">
      <c r="A27" s="3" t="s">
        <v>7</v>
      </c>
      <c r="B27" s="3" t="s">
        <v>8</v>
      </c>
      <c r="C27" s="1">
        <v>45217</v>
      </c>
      <c r="D27" s="3" t="s">
        <v>18</v>
      </c>
      <c r="E27" s="3" t="s">
        <v>50</v>
      </c>
      <c r="F27" s="3" t="s">
        <v>51</v>
      </c>
      <c r="G27">
        <v>738424</v>
      </c>
      <c r="H27">
        <v>145198.79999999999</v>
      </c>
      <c r="I27" t="s">
        <v>167</v>
      </c>
    </row>
    <row r="28" spans="1:9" x14ac:dyDescent="0.3">
      <c r="A28" s="3" t="s">
        <v>7</v>
      </c>
      <c r="B28" s="3" t="s">
        <v>8</v>
      </c>
      <c r="C28" s="1">
        <v>45200</v>
      </c>
      <c r="D28" s="3" t="s">
        <v>52</v>
      </c>
      <c r="E28" s="3" t="s">
        <v>53</v>
      </c>
      <c r="F28" s="3" t="s">
        <v>54</v>
      </c>
      <c r="G28">
        <v>738484</v>
      </c>
      <c r="H28">
        <v>42382.080000000002</v>
      </c>
      <c r="I28" t="s">
        <v>167</v>
      </c>
    </row>
    <row r="29" spans="1:9" x14ac:dyDescent="0.3">
      <c r="A29" s="3" t="s">
        <v>7</v>
      </c>
      <c r="B29" s="3" t="s">
        <v>8</v>
      </c>
      <c r="C29" s="1">
        <v>45200</v>
      </c>
      <c r="D29" s="3" t="s">
        <v>52</v>
      </c>
      <c r="E29" s="3" t="s">
        <v>13</v>
      </c>
      <c r="F29" s="3" t="s">
        <v>55</v>
      </c>
      <c r="G29">
        <v>738502</v>
      </c>
      <c r="H29">
        <v>47280</v>
      </c>
      <c r="I29" t="s">
        <v>167</v>
      </c>
    </row>
    <row r="30" spans="1:9" x14ac:dyDescent="0.3">
      <c r="A30" s="3" t="s">
        <v>7</v>
      </c>
      <c r="B30" s="3" t="s">
        <v>8</v>
      </c>
      <c r="C30" s="1">
        <v>45203</v>
      </c>
      <c r="D30" s="3" t="s">
        <v>56</v>
      </c>
      <c r="E30" s="3" t="s">
        <v>57</v>
      </c>
      <c r="F30" s="3" t="s">
        <v>58</v>
      </c>
      <c r="G30">
        <v>738525</v>
      </c>
      <c r="H30">
        <v>25172.400000000001</v>
      </c>
      <c r="I30" t="s">
        <v>167</v>
      </c>
    </row>
    <row r="31" spans="1:9" x14ac:dyDescent="0.3">
      <c r="A31" s="3" t="s">
        <v>7</v>
      </c>
      <c r="B31" s="3" t="s">
        <v>8</v>
      </c>
      <c r="C31" s="1">
        <v>45224</v>
      </c>
      <c r="D31" s="3" t="s">
        <v>59</v>
      </c>
      <c r="E31" s="3" t="s">
        <v>60</v>
      </c>
      <c r="F31" s="3" t="s">
        <v>61</v>
      </c>
      <c r="G31">
        <v>738633</v>
      </c>
      <c r="H31">
        <v>29202.73</v>
      </c>
      <c r="I31" t="s">
        <v>167</v>
      </c>
    </row>
    <row r="32" spans="1:9" x14ac:dyDescent="0.3">
      <c r="A32" s="3" t="s">
        <v>7</v>
      </c>
      <c r="B32" s="3" t="s">
        <v>8</v>
      </c>
      <c r="C32" s="1">
        <v>45203</v>
      </c>
      <c r="D32" s="3" t="s">
        <v>62</v>
      </c>
      <c r="E32" s="3" t="s">
        <v>63</v>
      </c>
      <c r="F32" s="3" t="s">
        <v>64</v>
      </c>
      <c r="G32">
        <v>738638</v>
      </c>
      <c r="H32">
        <v>776834.21</v>
      </c>
      <c r="I32" t="s">
        <v>167</v>
      </c>
    </row>
    <row r="33" spans="1:9" x14ac:dyDescent="0.3">
      <c r="A33" s="3" t="s">
        <v>7</v>
      </c>
      <c r="B33" s="3" t="s">
        <v>8</v>
      </c>
      <c r="C33" s="1">
        <v>45224</v>
      </c>
      <c r="D33" s="3" t="s">
        <v>24</v>
      </c>
      <c r="E33" s="3" t="s">
        <v>13</v>
      </c>
      <c r="F33" s="3" t="s">
        <v>65</v>
      </c>
      <c r="G33">
        <v>738759</v>
      </c>
      <c r="H33">
        <v>101641.31</v>
      </c>
      <c r="I33" t="s">
        <v>167</v>
      </c>
    </row>
    <row r="34" spans="1:9" x14ac:dyDescent="0.3">
      <c r="A34" s="3" t="s">
        <v>7</v>
      </c>
      <c r="B34" s="3" t="s">
        <v>8</v>
      </c>
      <c r="C34" s="1">
        <v>45203</v>
      </c>
      <c r="D34" s="3" t="s">
        <v>66</v>
      </c>
      <c r="E34" s="3" t="s">
        <v>67</v>
      </c>
      <c r="F34" s="3" t="s">
        <v>68</v>
      </c>
      <c r="G34">
        <v>738784</v>
      </c>
      <c r="H34">
        <v>37691.06</v>
      </c>
      <c r="I34" t="s">
        <v>167</v>
      </c>
    </row>
    <row r="35" spans="1:9" x14ac:dyDescent="0.3">
      <c r="A35" s="3" t="s">
        <v>7</v>
      </c>
      <c r="B35" s="3" t="s">
        <v>8</v>
      </c>
      <c r="C35" s="1">
        <v>45203</v>
      </c>
      <c r="D35" s="3" t="s">
        <v>69</v>
      </c>
      <c r="E35" s="3" t="s">
        <v>70</v>
      </c>
      <c r="F35" s="3" t="s">
        <v>58</v>
      </c>
      <c r="G35">
        <v>739021</v>
      </c>
      <c r="H35">
        <v>87513.85</v>
      </c>
      <c r="I35" t="s">
        <v>167</v>
      </c>
    </row>
    <row r="36" spans="1:9" x14ac:dyDescent="0.3">
      <c r="A36" s="3" t="s">
        <v>7</v>
      </c>
      <c r="B36" s="3" t="s">
        <v>8</v>
      </c>
      <c r="C36" s="1">
        <v>45203</v>
      </c>
      <c r="D36" s="3" t="s">
        <v>71</v>
      </c>
      <c r="E36" s="3" t="s">
        <v>72</v>
      </c>
      <c r="F36" s="3" t="s">
        <v>73</v>
      </c>
      <c r="G36">
        <v>739026</v>
      </c>
      <c r="H36">
        <v>31808.35</v>
      </c>
      <c r="I36" t="s">
        <v>167</v>
      </c>
    </row>
    <row r="37" spans="1:9" x14ac:dyDescent="0.3">
      <c r="A37" s="3" t="s">
        <v>7</v>
      </c>
      <c r="B37" s="3" t="s">
        <v>8</v>
      </c>
      <c r="C37" s="1">
        <v>45224</v>
      </c>
      <c r="D37" s="3" t="s">
        <v>74</v>
      </c>
      <c r="E37" s="3" t="s">
        <v>75</v>
      </c>
      <c r="F37" s="3" t="s">
        <v>76</v>
      </c>
      <c r="G37">
        <v>739059</v>
      </c>
      <c r="H37">
        <v>121034.76</v>
      </c>
      <c r="I37" t="s">
        <v>167</v>
      </c>
    </row>
    <row r="38" spans="1:9" x14ac:dyDescent="0.3">
      <c r="A38" s="3" t="s">
        <v>7</v>
      </c>
      <c r="B38" s="3" t="s">
        <v>8</v>
      </c>
      <c r="C38" s="1">
        <v>45216</v>
      </c>
      <c r="D38" s="3" t="s">
        <v>18</v>
      </c>
      <c r="E38" s="3" t="s">
        <v>77</v>
      </c>
      <c r="F38" s="3" t="s">
        <v>78</v>
      </c>
      <c r="G38">
        <v>739081</v>
      </c>
      <c r="H38">
        <v>137498.4</v>
      </c>
      <c r="I38" t="s">
        <v>167</v>
      </c>
    </row>
    <row r="39" spans="1:9" x14ac:dyDescent="0.3">
      <c r="A39" s="3" t="s">
        <v>7</v>
      </c>
      <c r="B39" s="3" t="s">
        <v>8</v>
      </c>
      <c r="C39" s="1">
        <v>45216</v>
      </c>
      <c r="D39" s="3" t="s">
        <v>79</v>
      </c>
      <c r="E39" s="3" t="s">
        <v>77</v>
      </c>
      <c r="F39" s="3" t="s">
        <v>78</v>
      </c>
      <c r="G39">
        <v>739081</v>
      </c>
      <c r="H39">
        <v>78804</v>
      </c>
      <c r="I39" t="s">
        <v>167</v>
      </c>
    </row>
    <row r="40" spans="1:9" x14ac:dyDescent="0.3">
      <c r="A40" s="3" t="s">
        <v>7</v>
      </c>
      <c r="B40" s="3" t="s">
        <v>8</v>
      </c>
      <c r="C40" s="1">
        <v>45217</v>
      </c>
      <c r="D40" s="3" t="s">
        <v>18</v>
      </c>
      <c r="E40" s="3" t="s">
        <v>77</v>
      </c>
      <c r="F40" s="3" t="s">
        <v>78</v>
      </c>
      <c r="G40">
        <v>739082</v>
      </c>
      <c r="H40">
        <v>50996.4</v>
      </c>
      <c r="I40" t="s">
        <v>167</v>
      </c>
    </row>
    <row r="41" spans="1:9" x14ac:dyDescent="0.3">
      <c r="A41" s="3" t="s">
        <v>7</v>
      </c>
      <c r="B41" s="3" t="s">
        <v>8</v>
      </c>
      <c r="C41" s="1">
        <v>45203</v>
      </c>
      <c r="D41" s="3" t="s">
        <v>80</v>
      </c>
      <c r="E41" s="3" t="s">
        <v>81</v>
      </c>
      <c r="F41" s="3" t="s">
        <v>82</v>
      </c>
      <c r="G41">
        <v>739106</v>
      </c>
      <c r="H41">
        <v>42632.81</v>
      </c>
      <c r="I41" t="s">
        <v>167</v>
      </c>
    </row>
    <row r="42" spans="1:9" x14ac:dyDescent="0.3">
      <c r="A42" s="3" t="s">
        <v>7</v>
      </c>
      <c r="B42" s="3" t="s">
        <v>8</v>
      </c>
      <c r="C42" s="1">
        <v>45224</v>
      </c>
      <c r="D42" s="3" t="s">
        <v>18</v>
      </c>
      <c r="E42" s="3" t="s">
        <v>83</v>
      </c>
      <c r="F42" s="3" t="s">
        <v>84</v>
      </c>
      <c r="G42">
        <v>739155</v>
      </c>
      <c r="H42">
        <v>73590.3</v>
      </c>
      <c r="I42" t="s">
        <v>167</v>
      </c>
    </row>
    <row r="43" spans="1:9" x14ac:dyDescent="0.3">
      <c r="A43" s="3" t="s">
        <v>7</v>
      </c>
      <c r="B43" s="3" t="s">
        <v>8</v>
      </c>
      <c r="C43" s="1">
        <v>45224</v>
      </c>
      <c r="D43" s="3" t="s">
        <v>79</v>
      </c>
      <c r="E43" s="3" t="s">
        <v>83</v>
      </c>
      <c r="F43" s="3" t="s">
        <v>84</v>
      </c>
      <c r="G43">
        <v>739155</v>
      </c>
      <c r="H43">
        <v>27092.400000000001</v>
      </c>
      <c r="I43" t="s">
        <v>167</v>
      </c>
    </row>
    <row r="44" spans="1:9" x14ac:dyDescent="0.3">
      <c r="A44" s="3" t="s">
        <v>7</v>
      </c>
      <c r="B44" s="3" t="s">
        <v>8</v>
      </c>
      <c r="C44" s="1">
        <v>45217</v>
      </c>
      <c r="D44" s="3" t="s">
        <v>18</v>
      </c>
      <c r="E44" s="3" t="s">
        <v>85</v>
      </c>
      <c r="F44" s="3" t="s">
        <v>86</v>
      </c>
      <c r="G44">
        <v>739236</v>
      </c>
      <c r="H44">
        <v>82500</v>
      </c>
      <c r="I44" t="s">
        <v>167</v>
      </c>
    </row>
    <row r="45" spans="1:9" x14ac:dyDescent="0.3">
      <c r="A45" s="3" t="s">
        <v>7</v>
      </c>
      <c r="B45" s="3" t="s">
        <v>8</v>
      </c>
      <c r="C45" s="1">
        <v>45217</v>
      </c>
      <c r="D45" s="3" t="s">
        <v>35</v>
      </c>
      <c r="E45" s="3" t="s">
        <v>87</v>
      </c>
      <c r="F45" s="3" t="s">
        <v>88</v>
      </c>
      <c r="G45">
        <v>739289</v>
      </c>
      <c r="H45">
        <v>25200</v>
      </c>
      <c r="I45" t="s">
        <v>167</v>
      </c>
    </row>
    <row r="46" spans="1:9" x14ac:dyDescent="0.3">
      <c r="A46" s="3" t="s">
        <v>7</v>
      </c>
      <c r="B46" s="3" t="s">
        <v>8</v>
      </c>
      <c r="C46" s="1">
        <v>45203</v>
      </c>
      <c r="D46" s="3" t="s">
        <v>89</v>
      </c>
      <c r="E46" s="3" t="s">
        <v>90</v>
      </c>
      <c r="F46" s="3" t="s">
        <v>25</v>
      </c>
      <c r="G46">
        <v>739381</v>
      </c>
      <c r="H46">
        <v>120000</v>
      </c>
      <c r="I46" t="s">
        <v>167</v>
      </c>
    </row>
    <row r="47" spans="1:9" x14ac:dyDescent="0.3">
      <c r="A47" s="3" t="s">
        <v>7</v>
      </c>
      <c r="B47" s="3" t="s">
        <v>8</v>
      </c>
      <c r="C47" s="1">
        <v>45203</v>
      </c>
      <c r="D47" s="3" t="s">
        <v>91</v>
      </c>
      <c r="E47" s="3" t="s">
        <v>92</v>
      </c>
      <c r="F47" s="3" t="s">
        <v>93</v>
      </c>
      <c r="G47">
        <v>739534</v>
      </c>
      <c r="H47">
        <v>50552.4</v>
      </c>
      <c r="I47" t="s">
        <v>167</v>
      </c>
    </row>
    <row r="48" spans="1:9" x14ac:dyDescent="0.3">
      <c r="A48" s="3" t="s">
        <v>7</v>
      </c>
      <c r="B48" s="3" t="s">
        <v>8</v>
      </c>
      <c r="C48" s="1">
        <v>45203</v>
      </c>
      <c r="D48" s="3" t="s">
        <v>15</v>
      </c>
      <c r="E48" s="3" t="s">
        <v>16</v>
      </c>
      <c r="F48" s="3" t="s">
        <v>94</v>
      </c>
      <c r="G48">
        <v>739659</v>
      </c>
      <c r="H48">
        <v>214807</v>
      </c>
      <c r="I48" t="s">
        <v>167</v>
      </c>
    </row>
    <row r="49" spans="1:9" x14ac:dyDescent="0.3">
      <c r="A49" s="3" t="s">
        <v>7</v>
      </c>
      <c r="B49" s="3" t="s">
        <v>8</v>
      </c>
      <c r="C49" s="1">
        <v>45203</v>
      </c>
      <c r="D49" s="3" t="s">
        <v>15</v>
      </c>
      <c r="E49" s="3" t="s">
        <v>16</v>
      </c>
      <c r="F49" s="3" t="s">
        <v>94</v>
      </c>
      <c r="G49">
        <v>739660</v>
      </c>
      <c r="H49">
        <v>280050</v>
      </c>
      <c r="I49" t="s">
        <v>167</v>
      </c>
    </row>
    <row r="50" spans="1:9" x14ac:dyDescent="0.3">
      <c r="A50" s="3" t="s">
        <v>7</v>
      </c>
      <c r="B50" s="3" t="s">
        <v>8</v>
      </c>
      <c r="C50" s="1">
        <v>45200</v>
      </c>
      <c r="D50" s="3" t="s">
        <v>66</v>
      </c>
      <c r="E50" s="3" t="s">
        <v>95</v>
      </c>
      <c r="F50" s="3" t="s">
        <v>96</v>
      </c>
      <c r="G50">
        <v>739851</v>
      </c>
      <c r="H50">
        <v>151568.9</v>
      </c>
      <c r="I50" t="s">
        <v>167</v>
      </c>
    </row>
    <row r="51" spans="1:9" x14ac:dyDescent="0.3">
      <c r="A51" s="3" t="s">
        <v>7</v>
      </c>
      <c r="B51" s="3" t="s">
        <v>8</v>
      </c>
      <c r="C51" s="1">
        <v>45200</v>
      </c>
      <c r="D51" s="3" t="s">
        <v>97</v>
      </c>
      <c r="E51" s="3" t="s">
        <v>98</v>
      </c>
      <c r="F51" s="3" t="s">
        <v>99</v>
      </c>
      <c r="G51">
        <v>739892</v>
      </c>
      <c r="H51">
        <v>39224.82</v>
      </c>
      <c r="I51" t="s">
        <v>167</v>
      </c>
    </row>
    <row r="52" spans="1:9" x14ac:dyDescent="0.3">
      <c r="A52" s="3" t="s">
        <v>7</v>
      </c>
      <c r="B52" s="3" t="s">
        <v>8</v>
      </c>
      <c r="C52" s="1">
        <v>45200</v>
      </c>
      <c r="D52" s="3" t="s">
        <v>97</v>
      </c>
      <c r="E52" s="3" t="s">
        <v>98</v>
      </c>
      <c r="F52" s="3" t="s">
        <v>99</v>
      </c>
      <c r="G52">
        <v>739893</v>
      </c>
      <c r="H52">
        <v>35796.769999999997</v>
      </c>
      <c r="I52" t="s">
        <v>167</v>
      </c>
    </row>
    <row r="53" spans="1:9" x14ac:dyDescent="0.3">
      <c r="A53" s="3" t="s">
        <v>7</v>
      </c>
      <c r="B53" s="3" t="s">
        <v>8</v>
      </c>
      <c r="C53" s="1">
        <v>45203</v>
      </c>
      <c r="D53" s="3" t="s">
        <v>97</v>
      </c>
      <c r="E53" s="3" t="s">
        <v>98</v>
      </c>
      <c r="F53" s="3" t="s">
        <v>99</v>
      </c>
      <c r="G53">
        <v>739894</v>
      </c>
      <c r="H53">
        <v>39389.46</v>
      </c>
      <c r="I53" t="s">
        <v>167</v>
      </c>
    </row>
    <row r="54" spans="1:9" x14ac:dyDescent="0.3">
      <c r="A54" s="3" t="s">
        <v>7</v>
      </c>
      <c r="B54" s="3" t="s">
        <v>8</v>
      </c>
      <c r="C54" s="1">
        <v>45200</v>
      </c>
      <c r="D54" s="3" t="s">
        <v>100</v>
      </c>
      <c r="E54" s="3" t="s">
        <v>101</v>
      </c>
      <c r="F54" s="3" t="s">
        <v>102</v>
      </c>
      <c r="G54">
        <v>739903</v>
      </c>
      <c r="H54">
        <v>54945</v>
      </c>
      <c r="I54" t="s">
        <v>167</v>
      </c>
    </row>
    <row r="55" spans="1:9" x14ac:dyDescent="0.3">
      <c r="A55" s="3" t="s">
        <v>7</v>
      </c>
      <c r="B55" s="3" t="s">
        <v>8</v>
      </c>
      <c r="C55" s="1">
        <v>45200</v>
      </c>
      <c r="D55" s="3" t="s">
        <v>100</v>
      </c>
      <c r="E55" s="3" t="s">
        <v>101</v>
      </c>
      <c r="F55" s="3" t="s">
        <v>102</v>
      </c>
      <c r="G55">
        <v>739904</v>
      </c>
      <c r="H55">
        <v>42000</v>
      </c>
      <c r="I55" t="s">
        <v>167</v>
      </c>
    </row>
    <row r="56" spans="1:9" x14ac:dyDescent="0.3">
      <c r="A56" s="3" t="s">
        <v>7</v>
      </c>
      <c r="B56" s="3" t="s">
        <v>8</v>
      </c>
      <c r="C56" s="1">
        <v>45210</v>
      </c>
      <c r="D56" s="3" t="s">
        <v>103</v>
      </c>
      <c r="E56" s="3" t="s">
        <v>104</v>
      </c>
      <c r="F56" s="3" t="s">
        <v>105</v>
      </c>
      <c r="G56">
        <v>739996</v>
      </c>
      <c r="H56">
        <v>36618</v>
      </c>
      <c r="I56" t="s">
        <v>167</v>
      </c>
    </row>
    <row r="57" spans="1:9" x14ac:dyDescent="0.3">
      <c r="A57" s="3" t="s">
        <v>7</v>
      </c>
      <c r="B57" s="3" t="s">
        <v>8</v>
      </c>
      <c r="C57" s="1">
        <v>45210</v>
      </c>
      <c r="D57" s="3" t="s">
        <v>106</v>
      </c>
      <c r="E57" s="3" t="s">
        <v>107</v>
      </c>
      <c r="F57" s="3" t="s">
        <v>108</v>
      </c>
      <c r="G57">
        <v>740235</v>
      </c>
      <c r="H57">
        <v>84172.95</v>
      </c>
      <c r="I57" t="s">
        <v>167</v>
      </c>
    </row>
    <row r="58" spans="1:9" x14ac:dyDescent="0.3">
      <c r="A58" s="3" t="s">
        <v>7</v>
      </c>
      <c r="B58" s="3" t="s">
        <v>8</v>
      </c>
      <c r="C58" s="1">
        <v>45210</v>
      </c>
      <c r="D58" s="3" t="s">
        <v>109</v>
      </c>
      <c r="E58" s="3" t="s">
        <v>110</v>
      </c>
      <c r="F58" s="3" t="s">
        <v>111</v>
      </c>
      <c r="G58">
        <v>740253</v>
      </c>
      <c r="H58">
        <v>26025.5</v>
      </c>
      <c r="I58" t="s">
        <v>167</v>
      </c>
    </row>
    <row r="59" spans="1:9" x14ac:dyDescent="0.3">
      <c r="A59" s="3" t="s">
        <v>7</v>
      </c>
      <c r="B59" s="3" t="s">
        <v>8</v>
      </c>
      <c r="C59" s="1">
        <v>45210</v>
      </c>
      <c r="D59" s="3" t="s">
        <v>109</v>
      </c>
      <c r="E59" s="3" t="s">
        <v>110</v>
      </c>
      <c r="F59" s="3" t="s">
        <v>111</v>
      </c>
      <c r="G59">
        <v>740254</v>
      </c>
      <c r="H59">
        <v>41964.59</v>
      </c>
      <c r="I59" t="s">
        <v>167</v>
      </c>
    </row>
    <row r="60" spans="1:9" x14ac:dyDescent="0.3">
      <c r="A60" s="3" t="s">
        <v>7</v>
      </c>
      <c r="B60" s="3" t="s">
        <v>8</v>
      </c>
      <c r="C60" s="1">
        <v>45200</v>
      </c>
      <c r="D60" s="3" t="s">
        <v>112</v>
      </c>
      <c r="E60" s="3" t="s">
        <v>13</v>
      </c>
      <c r="F60" s="3" t="s">
        <v>113</v>
      </c>
      <c r="G60">
        <v>740289</v>
      </c>
      <c r="H60">
        <v>57210</v>
      </c>
      <c r="I60" t="s">
        <v>167</v>
      </c>
    </row>
    <row r="61" spans="1:9" x14ac:dyDescent="0.3">
      <c r="A61" s="3" t="s">
        <v>7</v>
      </c>
      <c r="B61" s="3" t="s">
        <v>8</v>
      </c>
      <c r="C61" s="1">
        <v>45200</v>
      </c>
      <c r="D61" s="3" t="s">
        <v>9</v>
      </c>
      <c r="E61" s="3" t="s">
        <v>10</v>
      </c>
      <c r="F61" s="3" t="s">
        <v>11</v>
      </c>
      <c r="G61">
        <v>740415</v>
      </c>
      <c r="H61">
        <v>-385386.29</v>
      </c>
      <c r="I61" t="s">
        <v>168</v>
      </c>
    </row>
    <row r="62" spans="1:9" x14ac:dyDescent="0.3">
      <c r="A62" s="3" t="s">
        <v>7</v>
      </c>
      <c r="B62" s="3" t="s">
        <v>8</v>
      </c>
      <c r="C62" s="1">
        <v>45200</v>
      </c>
      <c r="D62" s="3" t="s">
        <v>9</v>
      </c>
      <c r="E62" s="3" t="s">
        <v>10</v>
      </c>
      <c r="F62" s="3" t="s">
        <v>11</v>
      </c>
      <c r="G62">
        <v>740416</v>
      </c>
      <c r="H62">
        <v>-385386.29</v>
      </c>
      <c r="I62" t="s">
        <v>168</v>
      </c>
    </row>
    <row r="63" spans="1:9" x14ac:dyDescent="0.3">
      <c r="A63" s="3" t="s">
        <v>7</v>
      </c>
      <c r="B63" s="3" t="s">
        <v>8</v>
      </c>
      <c r="C63" s="1">
        <v>45203</v>
      </c>
      <c r="D63" s="3" t="s">
        <v>114</v>
      </c>
      <c r="E63" s="3" t="s">
        <v>115</v>
      </c>
      <c r="F63" s="3" t="s">
        <v>116</v>
      </c>
      <c r="G63">
        <v>740699</v>
      </c>
      <c r="H63">
        <v>486558.88</v>
      </c>
      <c r="I63" t="s">
        <v>167</v>
      </c>
    </row>
    <row r="64" spans="1:9" x14ac:dyDescent="0.3">
      <c r="A64" s="3" t="s">
        <v>7</v>
      </c>
      <c r="B64" s="3" t="s">
        <v>8</v>
      </c>
      <c r="C64" s="1">
        <v>45203</v>
      </c>
      <c r="D64" s="3" t="s">
        <v>114</v>
      </c>
      <c r="E64" s="3" t="s">
        <v>117</v>
      </c>
      <c r="F64" s="3" t="s">
        <v>116</v>
      </c>
      <c r="G64">
        <v>740699</v>
      </c>
      <c r="H64">
        <v>110482.86</v>
      </c>
      <c r="I64" t="s">
        <v>167</v>
      </c>
    </row>
    <row r="65" spans="1:9" x14ac:dyDescent="0.3">
      <c r="A65" s="3" t="s">
        <v>7</v>
      </c>
      <c r="B65" s="3" t="s">
        <v>8</v>
      </c>
      <c r="C65" s="1">
        <v>45203</v>
      </c>
      <c r="D65" s="3" t="s">
        <v>118</v>
      </c>
      <c r="E65" s="3" t="s">
        <v>115</v>
      </c>
      <c r="F65" s="3" t="s">
        <v>116</v>
      </c>
      <c r="G65">
        <v>740699</v>
      </c>
      <c r="H65">
        <v>195843.48</v>
      </c>
      <c r="I65" t="s">
        <v>167</v>
      </c>
    </row>
    <row r="66" spans="1:9" x14ac:dyDescent="0.3">
      <c r="A66" s="3" t="s">
        <v>7</v>
      </c>
      <c r="B66" s="3" t="s">
        <v>8</v>
      </c>
      <c r="C66" s="1">
        <v>45203</v>
      </c>
      <c r="D66" s="3" t="s">
        <v>118</v>
      </c>
      <c r="E66" s="3" t="s">
        <v>117</v>
      </c>
      <c r="F66" s="3" t="s">
        <v>116</v>
      </c>
      <c r="G66">
        <v>740699</v>
      </c>
      <c r="H66">
        <v>319632.90999999997</v>
      </c>
      <c r="I66" t="s">
        <v>167</v>
      </c>
    </row>
    <row r="67" spans="1:9" x14ac:dyDescent="0.3">
      <c r="A67" s="3" t="s">
        <v>7</v>
      </c>
      <c r="B67" s="3" t="s">
        <v>8</v>
      </c>
      <c r="C67" s="1">
        <v>45217</v>
      </c>
      <c r="D67" s="3" t="s">
        <v>15</v>
      </c>
      <c r="E67" s="3" t="s">
        <v>48</v>
      </c>
      <c r="F67" s="3" t="s">
        <v>49</v>
      </c>
      <c r="G67">
        <v>740975</v>
      </c>
      <c r="H67">
        <v>309428.03000000003</v>
      </c>
      <c r="I67" t="s">
        <v>167</v>
      </c>
    </row>
    <row r="68" spans="1:9" x14ac:dyDescent="0.3">
      <c r="A68" s="3" t="s">
        <v>7</v>
      </c>
      <c r="B68" s="3" t="s">
        <v>8</v>
      </c>
      <c r="C68" s="1">
        <v>45210</v>
      </c>
      <c r="D68" s="3" t="s">
        <v>71</v>
      </c>
      <c r="E68" s="3" t="s">
        <v>72</v>
      </c>
      <c r="F68" s="3" t="s">
        <v>119</v>
      </c>
      <c r="G68">
        <v>741003</v>
      </c>
      <c r="H68">
        <v>34848.01</v>
      </c>
      <c r="I68" t="s">
        <v>167</v>
      </c>
    </row>
    <row r="69" spans="1:9" x14ac:dyDescent="0.3">
      <c r="A69" s="3" t="s">
        <v>7</v>
      </c>
      <c r="B69" s="3" t="s">
        <v>8</v>
      </c>
      <c r="C69" s="1">
        <v>45217</v>
      </c>
      <c r="D69" s="3" t="s">
        <v>120</v>
      </c>
      <c r="E69" s="3" t="s">
        <v>121</v>
      </c>
      <c r="F69" s="3" t="s">
        <v>122</v>
      </c>
      <c r="G69">
        <v>741410</v>
      </c>
      <c r="H69">
        <v>57683.21</v>
      </c>
      <c r="I69" t="s">
        <v>167</v>
      </c>
    </row>
    <row r="70" spans="1:9" x14ac:dyDescent="0.3">
      <c r="A70" s="3" t="s">
        <v>7</v>
      </c>
      <c r="B70" s="3" t="s">
        <v>8</v>
      </c>
      <c r="C70" s="1">
        <v>45224</v>
      </c>
      <c r="D70" s="3" t="s">
        <v>62</v>
      </c>
      <c r="E70" s="3" t="s">
        <v>123</v>
      </c>
      <c r="F70" s="3" t="s">
        <v>124</v>
      </c>
      <c r="G70">
        <v>741417</v>
      </c>
      <c r="H70">
        <v>31080</v>
      </c>
      <c r="I70" t="s">
        <v>167</v>
      </c>
    </row>
    <row r="71" spans="1:9" x14ac:dyDescent="0.3">
      <c r="A71" s="3" t="s">
        <v>7</v>
      </c>
      <c r="B71" s="3" t="s">
        <v>8</v>
      </c>
      <c r="C71" s="1">
        <v>45210</v>
      </c>
      <c r="D71" s="3" t="s">
        <v>125</v>
      </c>
      <c r="E71" s="3" t="s">
        <v>126</v>
      </c>
      <c r="F71" s="3" t="s">
        <v>127</v>
      </c>
      <c r="G71">
        <v>741444</v>
      </c>
      <c r="H71">
        <v>53100</v>
      </c>
      <c r="I71" t="s">
        <v>167</v>
      </c>
    </row>
    <row r="72" spans="1:9" x14ac:dyDescent="0.3">
      <c r="A72" s="3" t="s">
        <v>7</v>
      </c>
      <c r="B72" s="3" t="s">
        <v>8</v>
      </c>
      <c r="C72" s="1">
        <v>45224</v>
      </c>
      <c r="D72" s="3" t="s">
        <v>52</v>
      </c>
      <c r="E72" s="3" t="s">
        <v>13</v>
      </c>
      <c r="F72" s="3" t="s">
        <v>128</v>
      </c>
      <c r="G72">
        <v>741715</v>
      </c>
      <c r="H72">
        <v>272297.65999999997</v>
      </c>
      <c r="I72" t="s">
        <v>167</v>
      </c>
    </row>
    <row r="73" spans="1:9" x14ac:dyDescent="0.3">
      <c r="A73" s="3" t="s">
        <v>7</v>
      </c>
      <c r="B73" s="3" t="s">
        <v>8</v>
      </c>
      <c r="C73" s="1">
        <v>45224</v>
      </c>
      <c r="D73" s="3" t="s">
        <v>21</v>
      </c>
      <c r="E73" s="3" t="s">
        <v>129</v>
      </c>
      <c r="F73" s="3" t="s">
        <v>128</v>
      </c>
      <c r="G73">
        <v>741715</v>
      </c>
      <c r="H73">
        <v>92926.93</v>
      </c>
      <c r="I73" t="s">
        <v>167</v>
      </c>
    </row>
    <row r="74" spans="1:9" x14ac:dyDescent="0.3">
      <c r="A74" s="3" t="s">
        <v>7</v>
      </c>
      <c r="B74" s="3" t="s">
        <v>8</v>
      </c>
      <c r="C74" s="1">
        <v>45224</v>
      </c>
      <c r="D74" s="3" t="s">
        <v>130</v>
      </c>
      <c r="E74" s="3" t="s">
        <v>13</v>
      </c>
      <c r="F74" s="3" t="s">
        <v>128</v>
      </c>
      <c r="G74">
        <v>741716</v>
      </c>
      <c r="H74">
        <v>85364.25</v>
      </c>
      <c r="I74" t="s">
        <v>167</v>
      </c>
    </row>
    <row r="75" spans="1:9" x14ac:dyDescent="0.3">
      <c r="A75" s="3" t="s">
        <v>7</v>
      </c>
      <c r="B75" s="3" t="s">
        <v>8</v>
      </c>
      <c r="C75" s="1">
        <v>45224</v>
      </c>
      <c r="D75" s="3" t="s">
        <v>130</v>
      </c>
      <c r="E75" s="3" t="s">
        <v>13</v>
      </c>
      <c r="F75" s="3" t="s">
        <v>128</v>
      </c>
      <c r="G75">
        <v>741721</v>
      </c>
      <c r="H75">
        <v>75014.55</v>
      </c>
      <c r="I75" t="s">
        <v>167</v>
      </c>
    </row>
    <row r="76" spans="1:9" x14ac:dyDescent="0.3">
      <c r="A76" s="3" t="s">
        <v>7</v>
      </c>
      <c r="B76" s="3" t="s">
        <v>8</v>
      </c>
      <c r="C76" s="1">
        <v>45224</v>
      </c>
      <c r="D76" s="3" t="s">
        <v>131</v>
      </c>
      <c r="E76" s="3" t="s">
        <v>132</v>
      </c>
      <c r="F76" s="3" t="s">
        <v>128</v>
      </c>
      <c r="G76">
        <v>741721</v>
      </c>
      <c r="H76">
        <v>26672.13</v>
      </c>
      <c r="I76" t="s">
        <v>167</v>
      </c>
    </row>
    <row r="77" spans="1:9" x14ac:dyDescent="0.3">
      <c r="A77" s="3" t="s">
        <v>7</v>
      </c>
      <c r="B77" s="3" t="s">
        <v>8</v>
      </c>
      <c r="C77" s="1">
        <v>45224</v>
      </c>
      <c r="D77" s="3" t="s">
        <v>133</v>
      </c>
      <c r="E77" s="3" t="s">
        <v>72</v>
      </c>
      <c r="F77" s="3" t="s">
        <v>128</v>
      </c>
      <c r="G77">
        <v>741722</v>
      </c>
      <c r="H77">
        <v>208327.96</v>
      </c>
      <c r="I77" t="s">
        <v>167</v>
      </c>
    </row>
    <row r="78" spans="1:9" x14ac:dyDescent="0.3">
      <c r="A78" s="3" t="s">
        <v>7</v>
      </c>
      <c r="B78" s="3" t="s">
        <v>8</v>
      </c>
      <c r="C78" s="1">
        <v>45224</v>
      </c>
      <c r="D78" s="3" t="s">
        <v>130</v>
      </c>
      <c r="E78" s="3" t="s">
        <v>134</v>
      </c>
      <c r="F78" s="3" t="s">
        <v>128</v>
      </c>
      <c r="G78">
        <v>741723</v>
      </c>
      <c r="H78">
        <v>47495.01</v>
      </c>
      <c r="I78" t="s">
        <v>167</v>
      </c>
    </row>
    <row r="79" spans="1:9" x14ac:dyDescent="0.3">
      <c r="A79" s="3" t="s">
        <v>7</v>
      </c>
      <c r="B79" s="3" t="s">
        <v>8</v>
      </c>
      <c r="C79" s="1">
        <v>45224</v>
      </c>
      <c r="D79" s="3" t="s">
        <v>131</v>
      </c>
      <c r="E79" s="3" t="s">
        <v>72</v>
      </c>
      <c r="F79" s="3" t="s">
        <v>128</v>
      </c>
      <c r="G79">
        <v>741751</v>
      </c>
      <c r="H79">
        <v>277776.08</v>
      </c>
      <c r="I79" t="s">
        <v>167</v>
      </c>
    </row>
    <row r="80" spans="1:9" x14ac:dyDescent="0.3">
      <c r="A80" s="3" t="s">
        <v>7</v>
      </c>
      <c r="B80" s="3" t="s">
        <v>8</v>
      </c>
      <c r="C80" s="1">
        <v>45224</v>
      </c>
      <c r="D80" s="3" t="s">
        <v>21</v>
      </c>
      <c r="E80" s="3" t="s">
        <v>60</v>
      </c>
      <c r="F80" s="3" t="s">
        <v>119</v>
      </c>
      <c r="G80">
        <v>741779</v>
      </c>
      <c r="H80">
        <v>60909.66</v>
      </c>
      <c r="I80" t="s">
        <v>167</v>
      </c>
    </row>
    <row r="81" spans="1:9" x14ac:dyDescent="0.3">
      <c r="A81" s="3" t="s">
        <v>7</v>
      </c>
      <c r="B81" s="3" t="s">
        <v>8</v>
      </c>
      <c r="C81" s="1">
        <v>45224</v>
      </c>
      <c r="D81" s="3" t="s">
        <v>135</v>
      </c>
      <c r="E81" s="3" t="s">
        <v>136</v>
      </c>
      <c r="F81" s="3" t="s">
        <v>137</v>
      </c>
      <c r="G81">
        <v>741803</v>
      </c>
      <c r="H81">
        <v>31644</v>
      </c>
      <c r="I81" t="s">
        <v>167</v>
      </c>
    </row>
    <row r="82" spans="1:9" x14ac:dyDescent="0.3">
      <c r="A82" s="3" t="s">
        <v>7</v>
      </c>
      <c r="B82" s="3" t="s">
        <v>8</v>
      </c>
      <c r="C82" s="1">
        <v>45203</v>
      </c>
      <c r="D82" s="3" t="s">
        <v>56</v>
      </c>
      <c r="E82" s="3" t="s">
        <v>57</v>
      </c>
      <c r="F82" s="3" t="s">
        <v>58</v>
      </c>
      <c r="G82">
        <v>742078</v>
      </c>
      <c r="H82">
        <v>29120.400000000001</v>
      </c>
      <c r="I82" t="s">
        <v>167</v>
      </c>
    </row>
    <row r="83" spans="1:9" x14ac:dyDescent="0.3">
      <c r="A83" s="3" t="s">
        <v>7</v>
      </c>
      <c r="B83" s="3" t="s">
        <v>8</v>
      </c>
      <c r="C83" s="1">
        <v>45224</v>
      </c>
      <c r="D83" s="3" t="s">
        <v>133</v>
      </c>
      <c r="E83" s="3" t="s">
        <v>30</v>
      </c>
      <c r="F83" s="3" t="s">
        <v>138</v>
      </c>
      <c r="G83">
        <v>742170</v>
      </c>
      <c r="H83">
        <v>110244</v>
      </c>
      <c r="I83" t="s">
        <v>167</v>
      </c>
    </row>
    <row r="84" spans="1:9" x14ac:dyDescent="0.3">
      <c r="A84" s="3" t="s">
        <v>7</v>
      </c>
      <c r="B84" s="3" t="s">
        <v>8</v>
      </c>
      <c r="C84" s="1">
        <v>45224</v>
      </c>
      <c r="D84" s="3" t="s">
        <v>52</v>
      </c>
      <c r="E84" s="3" t="s">
        <v>13</v>
      </c>
      <c r="F84" s="3" t="s">
        <v>55</v>
      </c>
      <c r="G84">
        <v>742179</v>
      </c>
      <c r="H84">
        <v>59100</v>
      </c>
      <c r="I84" t="s">
        <v>167</v>
      </c>
    </row>
    <row r="85" spans="1:9" x14ac:dyDescent="0.3">
      <c r="A85" s="3" t="s">
        <v>7</v>
      </c>
      <c r="B85" s="3" t="s">
        <v>8</v>
      </c>
      <c r="C85" s="1">
        <v>45210</v>
      </c>
      <c r="D85" s="3" t="s">
        <v>24</v>
      </c>
      <c r="E85" s="3" t="s">
        <v>13</v>
      </c>
      <c r="F85" s="3" t="s">
        <v>113</v>
      </c>
      <c r="G85">
        <v>742297</v>
      </c>
      <c r="H85">
        <v>98171.27</v>
      </c>
      <c r="I85" t="s">
        <v>167</v>
      </c>
    </row>
    <row r="86" spans="1:9" x14ac:dyDescent="0.3">
      <c r="A86" s="3" t="s">
        <v>7</v>
      </c>
      <c r="B86" s="3" t="s">
        <v>8</v>
      </c>
      <c r="C86" s="1">
        <v>45210</v>
      </c>
      <c r="D86" s="3" t="s">
        <v>112</v>
      </c>
      <c r="E86" s="3" t="s">
        <v>13</v>
      </c>
      <c r="F86" s="3" t="s">
        <v>113</v>
      </c>
      <c r="G86">
        <v>742298</v>
      </c>
      <c r="H86">
        <v>160558.74</v>
      </c>
      <c r="I86" t="s">
        <v>167</v>
      </c>
    </row>
    <row r="87" spans="1:9" x14ac:dyDescent="0.3">
      <c r="A87" s="3" t="s">
        <v>7</v>
      </c>
      <c r="B87" s="3" t="s">
        <v>8</v>
      </c>
      <c r="C87" s="1">
        <v>45210</v>
      </c>
      <c r="D87" s="3" t="s">
        <v>112</v>
      </c>
      <c r="E87" s="3" t="s">
        <v>13</v>
      </c>
      <c r="F87" s="3" t="s">
        <v>113</v>
      </c>
      <c r="G87">
        <v>742300</v>
      </c>
      <c r="H87">
        <v>310314.19</v>
      </c>
      <c r="I87" t="s">
        <v>167</v>
      </c>
    </row>
    <row r="88" spans="1:9" x14ac:dyDescent="0.3">
      <c r="A88" s="3" t="s">
        <v>7</v>
      </c>
      <c r="B88" s="3" t="s">
        <v>8</v>
      </c>
      <c r="C88" s="1">
        <v>45224</v>
      </c>
      <c r="D88" s="3" t="s">
        <v>139</v>
      </c>
      <c r="E88" s="3" t="s">
        <v>72</v>
      </c>
      <c r="F88" s="3" t="s">
        <v>140</v>
      </c>
      <c r="G88">
        <v>742399</v>
      </c>
      <c r="H88">
        <v>150289.34</v>
      </c>
      <c r="I88" t="s">
        <v>167</v>
      </c>
    </row>
    <row r="89" spans="1:9" x14ac:dyDescent="0.3">
      <c r="A89" s="3" t="s">
        <v>7</v>
      </c>
      <c r="B89" s="3" t="s">
        <v>8</v>
      </c>
      <c r="C89" s="1">
        <v>45217</v>
      </c>
      <c r="D89" s="3" t="s">
        <v>135</v>
      </c>
      <c r="E89" s="3" t="s">
        <v>110</v>
      </c>
      <c r="F89" s="3" t="s">
        <v>141</v>
      </c>
      <c r="G89">
        <v>742449</v>
      </c>
      <c r="H89">
        <v>25665.83</v>
      </c>
      <c r="I89" t="s">
        <v>167</v>
      </c>
    </row>
    <row r="90" spans="1:9" x14ac:dyDescent="0.3">
      <c r="A90" s="3" t="s">
        <v>7</v>
      </c>
      <c r="B90" s="3" t="s">
        <v>8</v>
      </c>
      <c r="C90" s="1">
        <v>45217</v>
      </c>
      <c r="D90" s="3" t="s">
        <v>139</v>
      </c>
      <c r="E90" s="3" t="s">
        <v>72</v>
      </c>
      <c r="F90" s="3" t="s">
        <v>142</v>
      </c>
      <c r="G90">
        <v>742518</v>
      </c>
      <c r="H90">
        <v>69720.960000000006</v>
      </c>
      <c r="I90" t="s">
        <v>167</v>
      </c>
    </row>
    <row r="91" spans="1:9" x14ac:dyDescent="0.3">
      <c r="A91" s="3" t="s">
        <v>7</v>
      </c>
      <c r="B91" s="3" t="s">
        <v>8</v>
      </c>
      <c r="C91" s="1">
        <v>45223</v>
      </c>
      <c r="D91" s="3" t="s">
        <v>12</v>
      </c>
      <c r="E91" s="3" t="s">
        <v>13</v>
      </c>
      <c r="F91" s="3" t="s">
        <v>143</v>
      </c>
      <c r="G91">
        <v>742538</v>
      </c>
      <c r="H91">
        <v>25193.5</v>
      </c>
      <c r="I91" t="s">
        <v>167</v>
      </c>
    </row>
    <row r="92" spans="1:9" x14ac:dyDescent="0.3">
      <c r="A92" s="3" t="s">
        <v>7</v>
      </c>
      <c r="B92" s="3" t="s">
        <v>8</v>
      </c>
      <c r="C92" s="1">
        <v>45223</v>
      </c>
      <c r="D92" s="3" t="s">
        <v>12</v>
      </c>
      <c r="E92" s="3" t="s">
        <v>13</v>
      </c>
      <c r="F92" s="3" t="s">
        <v>143</v>
      </c>
      <c r="G92">
        <v>742539</v>
      </c>
      <c r="H92">
        <v>25193.5</v>
      </c>
      <c r="I92" t="s">
        <v>167</v>
      </c>
    </row>
    <row r="93" spans="1:9" x14ac:dyDescent="0.3">
      <c r="A93" s="3" t="s">
        <v>7</v>
      </c>
      <c r="B93" s="3" t="s">
        <v>8</v>
      </c>
      <c r="C93" s="1">
        <v>45223</v>
      </c>
      <c r="D93" s="3" t="s">
        <v>12</v>
      </c>
      <c r="E93" s="3" t="s">
        <v>13</v>
      </c>
      <c r="F93" s="3" t="s">
        <v>143</v>
      </c>
      <c r="G93">
        <v>742540</v>
      </c>
      <c r="H93">
        <v>28215.88</v>
      </c>
      <c r="I93" t="s">
        <v>167</v>
      </c>
    </row>
    <row r="94" spans="1:9" x14ac:dyDescent="0.3">
      <c r="A94" s="3" t="s">
        <v>7</v>
      </c>
      <c r="B94" s="3" t="s">
        <v>8</v>
      </c>
      <c r="C94" s="1">
        <v>45223</v>
      </c>
      <c r="D94" s="3" t="s">
        <v>12</v>
      </c>
      <c r="E94" s="3" t="s">
        <v>13</v>
      </c>
      <c r="F94" s="3" t="s">
        <v>143</v>
      </c>
      <c r="G94">
        <v>742541</v>
      </c>
      <c r="H94">
        <v>28215.88</v>
      </c>
      <c r="I94" t="s">
        <v>167</v>
      </c>
    </row>
    <row r="95" spans="1:9" x14ac:dyDescent="0.3">
      <c r="A95" s="3" t="s">
        <v>7</v>
      </c>
      <c r="B95" s="3" t="s">
        <v>8</v>
      </c>
      <c r="C95" s="1">
        <v>45223</v>
      </c>
      <c r="D95" s="3" t="s">
        <v>12</v>
      </c>
      <c r="E95" s="3" t="s">
        <v>13</v>
      </c>
      <c r="F95" s="3" t="s">
        <v>143</v>
      </c>
      <c r="G95">
        <v>742542</v>
      </c>
      <c r="H95">
        <v>29223.34</v>
      </c>
      <c r="I95" t="s">
        <v>167</v>
      </c>
    </row>
    <row r="96" spans="1:9" x14ac:dyDescent="0.3">
      <c r="A96" s="3" t="s">
        <v>7</v>
      </c>
      <c r="B96" s="3" t="s">
        <v>8</v>
      </c>
      <c r="C96" s="1">
        <v>45223</v>
      </c>
      <c r="D96" s="3" t="s">
        <v>12</v>
      </c>
      <c r="E96" s="3" t="s">
        <v>13</v>
      </c>
      <c r="F96" s="3" t="s">
        <v>143</v>
      </c>
      <c r="G96">
        <v>742543</v>
      </c>
      <c r="H96">
        <v>30230.799999999999</v>
      </c>
      <c r="I96" t="s">
        <v>167</v>
      </c>
    </row>
    <row r="97" spans="1:9" x14ac:dyDescent="0.3">
      <c r="A97" s="3" t="s">
        <v>7</v>
      </c>
      <c r="B97" s="3" t="s">
        <v>8</v>
      </c>
      <c r="C97" s="1">
        <v>45223</v>
      </c>
      <c r="D97" s="3" t="s">
        <v>12</v>
      </c>
      <c r="E97" s="3" t="s">
        <v>13</v>
      </c>
      <c r="F97" s="3" t="s">
        <v>143</v>
      </c>
      <c r="G97">
        <v>742544</v>
      </c>
      <c r="H97">
        <v>30230.799999999999</v>
      </c>
      <c r="I97" t="s">
        <v>167</v>
      </c>
    </row>
    <row r="98" spans="1:9" x14ac:dyDescent="0.3">
      <c r="A98" s="3" t="s">
        <v>7</v>
      </c>
      <c r="B98" s="3" t="s">
        <v>8</v>
      </c>
      <c r="C98" s="1">
        <v>45223</v>
      </c>
      <c r="D98" s="3" t="s">
        <v>12</v>
      </c>
      <c r="E98" s="3" t="s">
        <v>13</v>
      </c>
      <c r="F98" s="3" t="s">
        <v>143</v>
      </c>
      <c r="G98">
        <v>742548</v>
      </c>
      <c r="H98">
        <v>27208.42</v>
      </c>
      <c r="I98" t="s">
        <v>167</v>
      </c>
    </row>
    <row r="99" spans="1:9" x14ac:dyDescent="0.3">
      <c r="A99" s="3" t="s">
        <v>7</v>
      </c>
      <c r="B99" s="3" t="s">
        <v>8</v>
      </c>
      <c r="C99" s="1">
        <v>45210</v>
      </c>
      <c r="D99" s="3" t="s">
        <v>18</v>
      </c>
      <c r="E99" s="3" t="s">
        <v>144</v>
      </c>
      <c r="F99" s="3" t="s">
        <v>145</v>
      </c>
      <c r="G99">
        <v>742573</v>
      </c>
      <c r="H99">
        <v>36225</v>
      </c>
      <c r="I99" t="s">
        <v>167</v>
      </c>
    </row>
    <row r="100" spans="1:9" x14ac:dyDescent="0.3">
      <c r="A100" s="3" t="s">
        <v>7</v>
      </c>
      <c r="B100" s="3" t="s">
        <v>8</v>
      </c>
      <c r="C100" s="1">
        <v>45224</v>
      </c>
      <c r="D100" s="3" t="s">
        <v>15</v>
      </c>
      <c r="E100" s="3" t="s">
        <v>16</v>
      </c>
      <c r="F100" s="3" t="s">
        <v>17</v>
      </c>
      <c r="G100">
        <v>742576</v>
      </c>
      <c r="H100">
        <v>217976</v>
      </c>
      <c r="I100" t="s">
        <v>167</v>
      </c>
    </row>
    <row r="101" spans="1:9" x14ac:dyDescent="0.3">
      <c r="A101" s="3" t="s">
        <v>7</v>
      </c>
      <c r="B101" s="3" t="s">
        <v>8</v>
      </c>
      <c r="C101" s="1">
        <v>45224</v>
      </c>
      <c r="D101" s="3" t="s">
        <v>15</v>
      </c>
      <c r="E101" s="3" t="s">
        <v>16</v>
      </c>
      <c r="F101" s="3" t="s">
        <v>17</v>
      </c>
      <c r="G101">
        <v>742577</v>
      </c>
      <c r="H101">
        <v>567418.80000000005</v>
      </c>
      <c r="I101" t="s">
        <v>167</v>
      </c>
    </row>
    <row r="102" spans="1:9" x14ac:dyDescent="0.3">
      <c r="A102" s="3" t="s">
        <v>7</v>
      </c>
      <c r="B102" s="3" t="s">
        <v>8</v>
      </c>
      <c r="C102" s="1">
        <v>45210</v>
      </c>
      <c r="D102" s="3" t="s">
        <v>18</v>
      </c>
      <c r="E102" s="3" t="s">
        <v>144</v>
      </c>
      <c r="F102" s="3" t="s">
        <v>145</v>
      </c>
      <c r="G102">
        <v>742589</v>
      </c>
      <c r="H102">
        <v>48508.2</v>
      </c>
      <c r="I102" t="s">
        <v>167</v>
      </c>
    </row>
    <row r="103" spans="1:9" x14ac:dyDescent="0.3">
      <c r="A103" s="3" t="s">
        <v>7</v>
      </c>
      <c r="B103" s="3" t="s">
        <v>8</v>
      </c>
      <c r="C103" s="1">
        <v>45217</v>
      </c>
      <c r="D103" s="3" t="s">
        <v>18</v>
      </c>
      <c r="E103" s="3" t="s">
        <v>134</v>
      </c>
      <c r="F103" s="3" t="s">
        <v>145</v>
      </c>
      <c r="G103">
        <v>742590</v>
      </c>
      <c r="H103">
        <v>52694.86</v>
      </c>
      <c r="I103" t="s">
        <v>167</v>
      </c>
    </row>
    <row r="104" spans="1:9" x14ac:dyDescent="0.3">
      <c r="A104" s="3" t="s">
        <v>7</v>
      </c>
      <c r="B104" s="3" t="s">
        <v>8</v>
      </c>
      <c r="C104" s="1">
        <v>45223</v>
      </c>
      <c r="D104" s="3" t="s">
        <v>12</v>
      </c>
      <c r="E104" s="3" t="s">
        <v>13</v>
      </c>
      <c r="F104" s="3" t="s">
        <v>143</v>
      </c>
      <c r="G104">
        <v>742613</v>
      </c>
      <c r="H104">
        <v>27208.42</v>
      </c>
      <c r="I104" t="s">
        <v>167</v>
      </c>
    </row>
    <row r="105" spans="1:9" x14ac:dyDescent="0.3">
      <c r="A105" s="3" t="s">
        <v>7</v>
      </c>
      <c r="B105" s="3" t="s">
        <v>8</v>
      </c>
      <c r="C105" s="1">
        <v>45224</v>
      </c>
      <c r="D105" s="3" t="s">
        <v>135</v>
      </c>
      <c r="E105" s="3" t="s">
        <v>146</v>
      </c>
      <c r="F105" s="3" t="s">
        <v>147</v>
      </c>
      <c r="G105">
        <v>742631</v>
      </c>
      <c r="H105">
        <v>163380</v>
      </c>
      <c r="I105" t="s">
        <v>167</v>
      </c>
    </row>
    <row r="106" spans="1:9" x14ac:dyDescent="0.3">
      <c r="A106" s="3" t="s">
        <v>7</v>
      </c>
      <c r="B106" s="3" t="s">
        <v>8</v>
      </c>
      <c r="C106" s="1">
        <v>45210</v>
      </c>
      <c r="D106" s="3" t="s">
        <v>148</v>
      </c>
      <c r="E106" s="3" t="s">
        <v>110</v>
      </c>
      <c r="F106" s="3" t="s">
        <v>149</v>
      </c>
      <c r="G106">
        <v>742786</v>
      </c>
      <c r="H106">
        <v>25821.05</v>
      </c>
      <c r="I106" t="s">
        <v>167</v>
      </c>
    </row>
    <row r="107" spans="1:9" x14ac:dyDescent="0.3">
      <c r="A107" s="3" t="s">
        <v>7</v>
      </c>
      <c r="B107" s="3" t="s">
        <v>8</v>
      </c>
      <c r="C107" s="1">
        <v>45210</v>
      </c>
      <c r="D107" s="3" t="s">
        <v>97</v>
      </c>
      <c r="E107" s="3" t="s">
        <v>150</v>
      </c>
      <c r="F107" s="3" t="s">
        <v>151</v>
      </c>
      <c r="G107">
        <v>743326</v>
      </c>
      <c r="H107">
        <v>48531.72</v>
      </c>
      <c r="I107" t="s">
        <v>167</v>
      </c>
    </row>
    <row r="108" spans="1:9" x14ac:dyDescent="0.3">
      <c r="A108" s="3" t="s">
        <v>7</v>
      </c>
      <c r="B108" s="3" t="s">
        <v>8</v>
      </c>
      <c r="C108" s="1">
        <v>45217</v>
      </c>
      <c r="D108" s="3" t="s">
        <v>97</v>
      </c>
      <c r="E108" s="3" t="s">
        <v>98</v>
      </c>
      <c r="F108" s="3" t="s">
        <v>99</v>
      </c>
      <c r="G108">
        <v>743346</v>
      </c>
      <c r="H108">
        <v>30377.439999999999</v>
      </c>
      <c r="I108" t="s">
        <v>167</v>
      </c>
    </row>
    <row r="109" spans="1:9" x14ac:dyDescent="0.3">
      <c r="A109" s="3" t="s">
        <v>7</v>
      </c>
      <c r="B109" s="3" t="s">
        <v>8</v>
      </c>
      <c r="C109" s="1">
        <v>45217</v>
      </c>
      <c r="D109" s="3" t="s">
        <v>97</v>
      </c>
      <c r="E109" s="3" t="s">
        <v>98</v>
      </c>
      <c r="F109" s="3" t="s">
        <v>99</v>
      </c>
      <c r="G109">
        <v>743347</v>
      </c>
      <c r="H109">
        <v>34425.279999999999</v>
      </c>
      <c r="I109" t="s">
        <v>167</v>
      </c>
    </row>
    <row r="110" spans="1:9" x14ac:dyDescent="0.3">
      <c r="A110" s="3" t="s">
        <v>7</v>
      </c>
      <c r="B110" s="3" t="s">
        <v>8</v>
      </c>
      <c r="C110" s="1">
        <v>45224</v>
      </c>
      <c r="D110" s="3" t="s">
        <v>18</v>
      </c>
      <c r="E110" s="3" t="s">
        <v>152</v>
      </c>
      <c r="F110" s="3" t="s">
        <v>153</v>
      </c>
      <c r="G110">
        <v>743997</v>
      </c>
      <c r="H110">
        <v>134178</v>
      </c>
      <c r="I110" t="s">
        <v>167</v>
      </c>
    </row>
    <row r="111" spans="1:9" x14ac:dyDescent="0.3">
      <c r="A111" s="3" t="s">
        <v>7</v>
      </c>
      <c r="B111" s="3" t="s">
        <v>8</v>
      </c>
      <c r="C111" s="1">
        <v>45224</v>
      </c>
      <c r="D111" s="3" t="s">
        <v>97</v>
      </c>
      <c r="E111" s="3" t="s">
        <v>98</v>
      </c>
      <c r="F111" s="3" t="s">
        <v>99</v>
      </c>
      <c r="G111">
        <v>744052</v>
      </c>
      <c r="H111">
        <v>37164.03</v>
      </c>
      <c r="I111" t="s">
        <v>167</v>
      </c>
    </row>
    <row r="112" spans="1:9" x14ac:dyDescent="0.3">
      <c r="A112" s="3" t="s">
        <v>7</v>
      </c>
      <c r="B112" s="3" t="s">
        <v>8</v>
      </c>
      <c r="C112" s="1">
        <v>45224</v>
      </c>
      <c r="D112" s="3" t="s">
        <v>97</v>
      </c>
      <c r="E112" s="3" t="s">
        <v>98</v>
      </c>
      <c r="F112" s="3" t="s">
        <v>99</v>
      </c>
      <c r="G112">
        <v>744061</v>
      </c>
      <c r="H112">
        <v>37697.480000000003</v>
      </c>
      <c r="I112" t="s">
        <v>167</v>
      </c>
    </row>
    <row r="113" spans="1:9" x14ac:dyDescent="0.3">
      <c r="A113" s="3" t="s">
        <v>7</v>
      </c>
      <c r="B113" s="3" t="s">
        <v>8</v>
      </c>
      <c r="C113" s="1">
        <v>45224</v>
      </c>
      <c r="D113" s="3" t="s">
        <v>21</v>
      </c>
      <c r="E113" s="3" t="s">
        <v>154</v>
      </c>
      <c r="F113" s="3" t="s">
        <v>155</v>
      </c>
      <c r="G113">
        <v>744565</v>
      </c>
      <c r="H113">
        <v>37182</v>
      </c>
      <c r="I113" t="s">
        <v>167</v>
      </c>
    </row>
    <row r="114" spans="1:9" x14ac:dyDescent="0.3">
      <c r="A114" s="3" t="s">
        <v>7</v>
      </c>
      <c r="B114" s="3" t="s">
        <v>8</v>
      </c>
      <c r="C114" s="1">
        <v>45224</v>
      </c>
      <c r="D114" s="3" t="s">
        <v>12</v>
      </c>
      <c r="E114" s="3" t="s">
        <v>13</v>
      </c>
      <c r="F114" s="3" t="s">
        <v>156</v>
      </c>
      <c r="G114">
        <v>744588</v>
      </c>
      <c r="H114">
        <v>35254.480000000003</v>
      </c>
      <c r="I114" t="s">
        <v>167</v>
      </c>
    </row>
    <row r="115" spans="1:9" x14ac:dyDescent="0.3">
      <c r="A115" s="3" t="s">
        <v>7</v>
      </c>
      <c r="B115" s="3" t="s">
        <v>8</v>
      </c>
      <c r="C115" s="1">
        <v>45224</v>
      </c>
      <c r="D115" s="3" t="s">
        <v>24</v>
      </c>
      <c r="E115" s="3" t="s">
        <v>13</v>
      </c>
      <c r="F115" s="3" t="s">
        <v>25</v>
      </c>
      <c r="G115">
        <v>744635</v>
      </c>
      <c r="H115">
        <v>-75600</v>
      </c>
      <c r="I115" t="s">
        <v>168</v>
      </c>
    </row>
    <row r="116" spans="1:9" x14ac:dyDescent="0.3">
      <c r="A116" s="3" t="s">
        <v>7</v>
      </c>
      <c r="B116" s="3" t="s">
        <v>8</v>
      </c>
      <c r="C116" s="1">
        <v>45218</v>
      </c>
      <c r="D116" s="3" t="s">
        <v>12</v>
      </c>
      <c r="E116" s="3" t="s">
        <v>13</v>
      </c>
      <c r="F116" s="3" t="s">
        <v>156</v>
      </c>
      <c r="G116">
        <v>744683</v>
      </c>
      <c r="H116">
        <v>32254.48</v>
      </c>
      <c r="I116" t="s">
        <v>167</v>
      </c>
    </row>
    <row r="117" spans="1:9" x14ac:dyDescent="0.3">
      <c r="A117" s="3" t="s">
        <v>7</v>
      </c>
      <c r="B117" s="3" t="s">
        <v>8</v>
      </c>
      <c r="C117" s="1">
        <v>45218</v>
      </c>
      <c r="D117" s="3" t="s">
        <v>12</v>
      </c>
      <c r="E117" s="3" t="s">
        <v>13</v>
      </c>
      <c r="F117" s="3" t="s">
        <v>156</v>
      </c>
      <c r="G117">
        <v>745063</v>
      </c>
      <c r="H117">
        <v>-32254.48</v>
      </c>
      <c r="I117" t="s">
        <v>168</v>
      </c>
    </row>
    <row r="118" spans="1:9" x14ac:dyDescent="0.3">
      <c r="A118" s="3" t="s">
        <v>7</v>
      </c>
      <c r="B118" s="3" t="s">
        <v>8</v>
      </c>
      <c r="C118" s="1">
        <v>45218</v>
      </c>
      <c r="D118" s="3" t="s">
        <v>12</v>
      </c>
      <c r="E118" s="3" t="s">
        <v>13</v>
      </c>
      <c r="F118" s="3" t="s">
        <v>156</v>
      </c>
      <c r="G118">
        <v>745138</v>
      </c>
      <c r="H118">
        <v>511409.96</v>
      </c>
      <c r="I118" t="s">
        <v>167</v>
      </c>
    </row>
    <row r="119" spans="1:9" x14ac:dyDescent="0.3">
      <c r="A119" s="3" t="s">
        <v>7</v>
      </c>
      <c r="B119" s="3" t="s">
        <v>8</v>
      </c>
      <c r="C119" s="1">
        <v>45223</v>
      </c>
      <c r="D119" s="3" t="s">
        <v>45</v>
      </c>
      <c r="E119" s="3" t="s">
        <v>46</v>
      </c>
      <c r="F119" s="3" t="s">
        <v>47</v>
      </c>
      <c r="G119">
        <v>745597</v>
      </c>
      <c r="H119">
        <v>-28443</v>
      </c>
      <c r="I119" t="s">
        <v>168</v>
      </c>
    </row>
    <row r="120" spans="1:9" x14ac:dyDescent="0.3">
      <c r="A120" s="3" t="s">
        <v>7</v>
      </c>
      <c r="B120" s="3" t="s">
        <v>8</v>
      </c>
      <c r="C120" s="1">
        <v>45202</v>
      </c>
      <c r="D120" s="3" t="s">
        <v>157</v>
      </c>
      <c r="E120" s="3" t="s">
        <v>158</v>
      </c>
      <c r="F120" s="3" t="s">
        <v>159</v>
      </c>
      <c r="G120">
        <v>109161</v>
      </c>
      <c r="H120">
        <v>446608.59</v>
      </c>
      <c r="I120" t="s">
        <v>167</v>
      </c>
    </row>
    <row r="121" spans="1:9" x14ac:dyDescent="0.3">
      <c r="A121" s="3" t="s">
        <v>7</v>
      </c>
      <c r="B121" s="3" t="s">
        <v>8</v>
      </c>
      <c r="C121" s="1">
        <v>45225</v>
      </c>
      <c r="D121" s="3" t="s">
        <v>160</v>
      </c>
      <c r="E121" s="3" t="s">
        <v>161</v>
      </c>
      <c r="F121" s="3" t="s">
        <v>162</v>
      </c>
      <c r="G121">
        <v>109358</v>
      </c>
      <c r="H121">
        <v>141696.95000000001</v>
      </c>
      <c r="I121" t="s">
        <v>167</v>
      </c>
    </row>
    <row r="122" spans="1:9" x14ac:dyDescent="0.3">
      <c r="A122" s="3" t="s">
        <v>7</v>
      </c>
      <c r="B122" s="3" t="s">
        <v>8</v>
      </c>
      <c r="C122" s="1">
        <v>45216</v>
      </c>
      <c r="D122" s="3" t="s">
        <v>163</v>
      </c>
      <c r="E122" s="3" t="s">
        <v>158</v>
      </c>
      <c r="F122" s="3" t="s">
        <v>164</v>
      </c>
      <c r="G122">
        <v>109309</v>
      </c>
      <c r="H122">
        <v>240843.99</v>
      </c>
      <c r="I122" t="s">
        <v>167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showRowColHeaders="0" tabSelected="1" zoomScale="90" zoomScaleNormal="90" workbookViewId="0">
      <selection activeCell="AA33" sqref="AA33"/>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C9920F-F5E3-45E7-BC59-0C876551781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Transparency Report</vt:lpstr>
      <vt:lpstr>pivot workings</vt:lpstr>
      <vt:lpstr>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Chisom Stanley Udebuani</dc:creator>
  <cp:lastModifiedBy>Udebuani Stanley</cp:lastModifiedBy>
  <dcterms:created xsi:type="dcterms:W3CDTF">2026-02-26T01:39:38Z</dcterms:created>
  <dcterms:modified xsi:type="dcterms:W3CDTF">2026-02-26T03:07:51Z</dcterms:modified>
</cp:coreProperties>
</file>